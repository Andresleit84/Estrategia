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endoagil486-my.sharepoint.com/personal/eric_sendoagil_com/Documents/00 - Valladolid Caja Financiera/Entregables/Documentacion/04 - Gobernanza/Pulso/"/>
    </mc:Choice>
  </mc:AlternateContent>
  <xr:revisionPtr revIDLastSave="23" documentId="8_{E373F30C-2D83-4240-9D5C-5ADBC1B29981}" xr6:coauthVersionLast="47" xr6:coauthVersionMax="47" xr10:uidLastSave="{876D7D96-81C1-40C3-98A2-20619A24F613}"/>
  <bookViews>
    <workbookView xWindow="0" yWindow="0" windowWidth="28800" windowHeight="18000" firstSheet="4" activeTab="4" xr2:uid="{00000000-000D-0000-FFFF-FFFF00000000}"/>
  </bookViews>
  <sheets>
    <sheet name="LEEME_INICIO" sheetId="1" r:id="rId1"/>
    <sheet name="MASTER_2026_KRs" sheetId="2" r:id="rId2"/>
    <sheet name="OKR_ROLLUP" sheetId="3" r:id="rId3"/>
    <sheet name="ALINEACIÓN_2028_a_2026" sheetId="4" r:id="rId4"/>
    <sheet name="OnePager_Consejo" sheetId="5" r:id="rId5"/>
    <sheet name="MASTER_2028_KR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2" i="5"/>
  <c r="G12" i="5"/>
  <c r="F12" i="5"/>
  <c r="E12" i="5"/>
  <c r="C12" i="5"/>
  <c r="H11" i="5"/>
  <c r="G11" i="5"/>
  <c r="F11" i="5"/>
  <c r="E11" i="5"/>
  <c r="C11" i="5"/>
  <c r="H10" i="5"/>
  <c r="G10" i="5"/>
  <c r="F10" i="5"/>
  <c r="E10" i="5"/>
  <c r="C10" i="5"/>
  <c r="H9" i="5"/>
  <c r="G9" i="5"/>
  <c r="F9" i="5"/>
  <c r="E9" i="5"/>
  <c r="C9" i="5"/>
  <c r="H8" i="5"/>
  <c r="G8" i="5"/>
  <c r="F8" i="5"/>
  <c r="E8" i="5"/>
  <c r="C8" i="5"/>
  <c r="H7" i="5"/>
  <c r="G7" i="5"/>
  <c r="F7" i="5"/>
  <c r="E7" i="5"/>
  <c r="C7" i="5"/>
  <c r="H6" i="5"/>
  <c r="G6" i="5"/>
  <c r="F6" i="5"/>
  <c r="E6" i="5"/>
  <c r="C6" i="5"/>
  <c r="H5" i="5"/>
  <c r="G5" i="5"/>
  <c r="F5" i="5"/>
  <c r="E5" i="5"/>
  <c r="C5" i="5"/>
  <c r="J12" i="3"/>
  <c r="I12" i="3"/>
  <c r="H12" i="3"/>
  <c r="G12" i="3"/>
  <c r="F12" i="3"/>
  <c r="E12" i="3"/>
  <c r="L12" i="3" s="1"/>
  <c r="J11" i="3"/>
  <c r="I11" i="3"/>
  <c r="H11" i="3"/>
  <c r="G11" i="3"/>
  <c r="F11" i="3"/>
  <c r="E11" i="3"/>
  <c r="L11" i="3" s="1"/>
  <c r="J10" i="3"/>
  <c r="I10" i="3"/>
  <c r="H10" i="3"/>
  <c r="G10" i="3"/>
  <c r="F10" i="3"/>
  <c r="E10" i="3"/>
  <c r="L10" i="3" s="1"/>
  <c r="J9" i="3"/>
  <c r="I9" i="3"/>
  <c r="H9" i="3"/>
  <c r="G9" i="3"/>
  <c r="F9" i="3"/>
  <c r="E9" i="3"/>
  <c r="L9" i="3" s="1"/>
  <c r="J8" i="3"/>
  <c r="I8" i="3"/>
  <c r="H8" i="3"/>
  <c r="G8" i="3"/>
  <c r="F8" i="3"/>
  <c r="E8" i="3"/>
  <c r="L8" i="3" s="1"/>
  <c r="J7" i="3"/>
  <c r="I7" i="3"/>
  <c r="H7" i="3"/>
  <c r="G7" i="3"/>
  <c r="F7" i="3"/>
  <c r="E7" i="3"/>
  <c r="L7" i="3" s="1"/>
  <c r="J6" i="3"/>
  <c r="I6" i="3"/>
  <c r="K6" i="3" s="1"/>
  <c r="D6" i="5" s="1"/>
  <c r="H6" i="3"/>
  <c r="G6" i="3"/>
  <c r="F6" i="3"/>
  <c r="E6" i="3"/>
  <c r="L6" i="3" s="1"/>
  <c r="J5" i="3"/>
  <c r="I5" i="3"/>
  <c r="H5" i="3"/>
  <c r="G5" i="3"/>
  <c r="F5" i="3"/>
  <c r="E5" i="3"/>
  <c r="L5" i="3" s="1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K5" i="3" l="1"/>
  <c r="D5" i="5" s="1"/>
  <c r="K7" i="3"/>
  <c r="D7" i="5" s="1"/>
  <c r="K8" i="3"/>
  <c r="D8" i="5" s="1"/>
  <c r="K9" i="3"/>
  <c r="D9" i="5" s="1"/>
  <c r="K10" i="3"/>
  <c r="D10" i="5" s="1"/>
  <c r="K11" i="3"/>
  <c r="D11" i="5" s="1"/>
  <c r="K12" i="3"/>
  <c r="D12" i="5" s="1"/>
</calcChain>
</file>

<file path=xl/sharedStrings.xml><?xml version="1.0" encoding="utf-8"?>
<sst xmlns="http://schemas.openxmlformats.org/spreadsheetml/2006/main" count="686" uniqueCount="413">
  <si>
    <t>VCF — Toolkit de Pulso Mensual de OKRs (Solo Español)</t>
  </si>
  <si>
    <t>Fuente única de verdad: MASTER_2026_KRs → OKR_ROLLUP → OnePager_Consejo + Watchlist Horizonte (3 años).</t>
  </si>
  <si>
    <t>1) Mensual (Dueños de KR): actualizar KR CRÍTICO? (S/N) (rara vez) y CÓDIGO KR (V/A/R) (mensual) en MASTER_2026_KRs.</t>
  </si>
  <si>
    <t>2) Mensual (Comité Gerencial/PMO): revisar OKR_ROLLUP; completar Mensaje 1 línea + Solicitud/Decisión para OKRs en A o R.</t>
  </si>
  <si>
    <t>3) Mensual (Consejo): ver OnePager_Consejo (1 página). Conversación = solo excepciones (A/R) + decisiones.</t>
  </si>
  <si>
    <t>4) Horizonte 3 años: en ALINEACIÓN_2028_a_2026 definir Cobertura + Ranking (1–5) + Estatus Horizonte (V/A/R) + checkpoint; el OnePager lo muestra.</t>
  </si>
  <si>
    <t>MASTER 2026 — OKRs/KRs + Señales Mensuales + Salud del KR</t>
  </si>
  <si>
    <t>Aquí se captura el estatus mensual de cada KR. Todo lo demás se deriva de esta hoja.</t>
  </si>
  <si>
    <t># DE LA INTENCIÓN</t>
  </si>
  <si>
    <t>INT. DESCRIPCIÓN</t>
  </si>
  <si>
    <t>OKR ANUAL #</t>
  </si>
  <si>
    <t>OKR ANUAL ID</t>
  </si>
  <si>
    <t>KR #</t>
  </si>
  <si>
    <t>OKR ANUAL DESC (O)</t>
  </si>
  <si>
    <t>KR ID</t>
  </si>
  <si>
    <t>KEY RESULT (KR)</t>
  </si>
  <si>
    <t>META 2026</t>
  </si>
  <si>
    <t>REAL OCT. 2025</t>
  </si>
  <si>
    <t>REAL ACUM OCT. 2025</t>
  </si>
  <si>
    <t>META 1Q 2026</t>
  </si>
  <si>
    <t>KR TIPO (Outcome/Driver/Risk)</t>
  </si>
  <si>
    <t>SEÑAL MENSUAL 1 (Outcome)</t>
  </si>
  <si>
    <t>SEÑAL MENSUAL 2 (Driver)</t>
  </si>
  <si>
    <t>SEÑAL MENSUAL 3 (Riesgo/KRI)</t>
  </si>
  <si>
    <t>FUENTE / SISTEMA</t>
  </si>
  <si>
    <t>REGLA G/A/R (simple)</t>
  </si>
  <si>
    <t>MENSAJE 1-LÍNEA (para Consejo)</t>
  </si>
  <si>
    <t>ASK / DECISIÓN (si aplica)</t>
  </si>
  <si>
    <t>KR CRÍTICO? (S/N)</t>
  </si>
  <si>
    <t>CÓDIGO KR (V/A/R)</t>
  </si>
  <si>
    <t>PUNTOS (auto)</t>
  </si>
  <si>
    <t>FECHA ACTUALIZACIÓN (auto)</t>
  </si>
  <si>
    <t>Capacidad Transformacional y Diferenciación</t>
  </si>
  <si>
    <t>OKR 1</t>
  </si>
  <si>
    <t>Reposicionamiento Estratégico y Diferenciado</t>
  </si>
  <si>
    <t>KR 1.1</t>
  </si>
  <si>
    <t>Alcanzar NPS 8</t>
  </si>
  <si>
    <t>Outcome</t>
  </si>
  <si>
    <t>NPS (si se actualiza mensual) o NPS proxy por quejas/servicio</t>
  </si>
  <si>
    <t>Quejas por 1,000 socios + tendencia</t>
  </si>
  <si>
    <t>Tiempo de resolución / reincidencia</t>
  </si>
  <si>
    <t>CRM / Mesa de servicio</t>
  </si>
  <si>
    <t>G: tendencia mejora; Y: se estanca; R: empeora 2 meses</t>
  </si>
  <si>
    <t>Fricción del socio bajo control / requiere acción</t>
  </si>
  <si>
    <t>—</t>
  </si>
  <si>
    <t>S</t>
  </si>
  <si>
    <t>A</t>
  </si>
  <si>
    <t>KR 1.2</t>
  </si>
  <si>
    <t>Incrementar cartera bruta 10,771 MDP</t>
  </si>
  <si>
    <t>10,771 mdp</t>
  </si>
  <si>
    <t>Cartera bruta (avance vs run-rate)</t>
  </si>
  <si>
    <t>Pipeline (aprobaciones + originación)</t>
  </si>
  <si>
    <t>Mora temprana (0-30 / 30-60)</t>
  </si>
  <si>
    <t>Core / Crédito / Riesgos</t>
  </si>
  <si>
    <t>G: &gt;run-rate y mora estable; Y: gap moderado; R: gap alto o mora sube</t>
  </si>
  <si>
    <t>Crecimiento de cartera en línea / ajustar palancas</t>
  </si>
  <si>
    <t>Aprobar ajustes de apetito / pricing (si aplica)</t>
  </si>
  <si>
    <t>N</t>
  </si>
  <si>
    <t>R</t>
  </si>
  <si>
    <t>KR 1.3</t>
  </si>
  <si>
    <t>Incrementar tasa de membresía activa de 33,335</t>
  </si>
  <si>
    <t>33,335</t>
  </si>
  <si>
    <t>Socios activos netos (altas-bajas)</t>
  </si>
  <si>
    <t>Tasa de activación 30 días (onboarding)</t>
  </si>
  <si>
    <t>Churn / dormancia</t>
  </si>
  <si>
    <t>Core / Canales</t>
  </si>
  <si>
    <t>G: neto &gt;run-rate; Y: cerca; R: por debajo 2 meses</t>
  </si>
  <si>
    <t>Base de socios creciendo de forma saludable</t>
  </si>
  <si>
    <t>V</t>
  </si>
  <si>
    <t>OKR 2</t>
  </si>
  <si>
    <t>Transformación Digital y Eficiencia Operativa</t>
  </si>
  <si>
    <t>KR 1.4</t>
  </si>
  <si>
    <t>Reducir Tasa de Reproceso en la evaluación de los créditos (énfasis en los productos priorizados) del 17% al &lt;13%.</t>
  </si>
  <si>
    <t>&lt;13%</t>
  </si>
  <si>
    <t>Driver</t>
  </si>
  <si>
    <t>% reproceso en evaluación</t>
  </si>
  <si>
    <t>Tiempo de ciclo de evaluación</t>
  </si>
  <si>
    <t>Backlog de reprocesos &gt;X días</t>
  </si>
  <si>
    <t>Crédito / Operaciones</t>
  </si>
  <si>
    <t>G: reproceso baja; Y: plano; R: sube</t>
  </si>
  <si>
    <t>Calidad del flujo de evaluación mejorando</t>
  </si>
  <si>
    <t>Desbloquear recursos/automatización</t>
  </si>
  <si>
    <t>KR 1.5</t>
  </si>
  <si>
    <t>Alcanzar y mejorar un cumplimiento SLA Soporte N1 al 80% (Ops.)</t>
  </si>
  <si>
    <t>% tickets dentro de SLA</t>
  </si>
  <si>
    <t>Volumen de incidentes y backlog</t>
  </si>
  <si>
    <t>Incidentes críticos (Sev 1/2)</t>
  </si>
  <si>
    <t>ITSM / Soporte</t>
  </si>
  <si>
    <t>G: SLA&gt;=meta; Y: 2 semanas bajo; R: incumple 1 mes</t>
  </si>
  <si>
    <t>Soporte estable / riesgo de interrupciones</t>
  </si>
  <si>
    <t>Priorizar inversiones / capacity</t>
  </si>
  <si>
    <t>y</t>
  </si>
  <si>
    <t>KR 1.6</t>
  </si>
  <si>
    <t xml:space="preserve">Mantener la eficiencia operativa de 47.2% </t>
  </si>
  <si>
    <t>Eficiencia operativa (ratio)</t>
  </si>
  <si>
    <t>Productividad por FTE / automatización</t>
  </si>
  <si>
    <t>Horas extra / backlog operativo</t>
  </si>
  <si>
    <t>Finanzas / Ops</t>
  </si>
  <si>
    <t>G: mejora vs baseline; Y: leve; R: empeora</t>
  </si>
  <si>
    <t>Eficiencia bajo control / ajustar ejecución</t>
  </si>
  <si>
    <t>Crecimiento e Impacto de Mercado</t>
  </si>
  <si>
    <t>OKR 3</t>
  </si>
  <si>
    <t>Atraer las nuevas generaciones de socios</t>
  </si>
  <si>
    <t>KR 2.1</t>
  </si>
  <si>
    <t>Aumentar 33,335 nuevos socios activos.</t>
  </si>
  <si>
    <t>Nuevos socios activos vs run-rate</t>
  </si>
  <si>
    <t>Conversión del funnel (lead→alta→activo)</t>
  </si>
  <si>
    <t>Abandono onboarding / cancelaciones</t>
  </si>
  <si>
    <t>CRM / Canales / Core</t>
  </si>
  <si>
    <t>G: &gt;run-rate; Y: cerca; R: &lt;run-rate 2 meses</t>
  </si>
  <si>
    <t>Crecimiento de socios en marcha</t>
  </si>
  <si>
    <t>KR 2.2</t>
  </si>
  <si>
    <t>Lograr que 35% de los nuevos socios provengan de las 3 regiones estratégicas prioritarias.</t>
  </si>
  <si>
    <t>% nuevos socios segmento joven</t>
  </si>
  <si>
    <t>Leads jóvenes + conversión</t>
  </si>
  <si>
    <t>CAC / eficacia campañas</t>
  </si>
  <si>
    <t>Marketing / CRM</t>
  </si>
  <si>
    <t>G: %&gt;=meta; Y: ligeramente bajo; R: bajo 2 meses</t>
  </si>
  <si>
    <t>Atractivo para jóvenes: on/off track</t>
  </si>
  <si>
    <t>Ajuste de inversión comercial</t>
  </si>
  <si>
    <t>KR 2.3</t>
  </si>
  <si>
    <t>Alcanzar que 25% de los nuevos socios jóvenes (4166) completen onboarding digital</t>
  </si>
  <si>
    <t>4166</t>
  </si>
  <si>
    <t>% jóvenes completan onboarding digital</t>
  </si>
  <si>
    <t>Tasa de éxito digital (login/registro/validación)</t>
  </si>
  <si>
    <t>Errores en app / caídas</t>
  </si>
  <si>
    <t>Digital / TI</t>
  </si>
  <si>
    <t>G: éxito&gt;=meta; Y: caídas puntuales; R: fallas sostenidas</t>
  </si>
  <si>
    <t>Onboarding digital habilitando crecimiento joven</t>
  </si>
  <si>
    <t>Priorizar fixes digitales</t>
  </si>
  <si>
    <t>OKR 4</t>
  </si>
  <si>
    <t>Modelo Comercial Sustentable y Sostenible</t>
  </si>
  <si>
    <t>KR 2.4</t>
  </si>
  <si>
    <t>Alcanzar desembolso 7200 mdp annual (600 mdp mensual).</t>
  </si>
  <si>
    <t>Desembolso mensual vs 600 mdp run-rate</t>
  </si>
  <si>
    <t>Pipeline cobertura (3x)</t>
  </si>
  <si>
    <t>Mora/ROI por cohorte</t>
  </si>
  <si>
    <t>Crédito / Finanzas</t>
  </si>
  <si>
    <t>G: run-rate y calidad; Y: gap; R: gap alto/mora sube</t>
  </si>
  <si>
    <t>Modelo comercial ejecutando sin comprometer riesgo</t>
  </si>
  <si>
    <t>Ajustes de política/apetito</t>
  </si>
  <si>
    <t>Gestión y cultura de Riesgos</t>
  </si>
  <si>
    <t>OKR 5</t>
  </si>
  <si>
    <t>Consolidar un Marco Institucional de Apetito de Riesgo que oriente la toma de decisiones en todos los niveles</t>
  </si>
  <si>
    <t>KR 3.1</t>
  </si>
  <si>
    <t>Obtener la aprobación de la Declaratoria de Apetito de Riesgo por parte del Consejo de Administración. (Enero 2026)</t>
  </si>
  <si>
    <t>Declaratoria de Apetito aprobada en Enero 2026</t>
  </si>
  <si>
    <t>Hitos completados declaratoria (plan)</t>
  </si>
  <si>
    <t>% stakeholders firmados</t>
  </si>
  <si>
    <t>Riesgos abiertos sin cierre</t>
  </si>
  <si>
    <t>Gobierno / Riesgos</t>
  </si>
  <si>
    <t>G: hito del mes completo; Y: atraso leve; R: atraso crítico</t>
  </si>
  <si>
    <t>Apetito de riesgo: avance/atraso</t>
  </si>
  <si>
    <t>Decisión/validación del Consejo</t>
  </si>
  <si>
    <t>KR 3.2</t>
  </si>
  <si>
    <t>Cuantificar al menos el 30 % de los riesgos prioritarios mediante modelos avanzados y validados</t>
  </si>
  <si>
    <t>TBD</t>
  </si>
  <si>
    <t>% riesgos prioritarios cuantificados</t>
  </si>
  <si>
    <t># escenarios/modelos validados</t>
  </si>
  <si>
    <t>Brecha de datos / modelos vencidos</t>
  </si>
  <si>
    <t>Riesgos / Datos</t>
  </si>
  <si>
    <t>G: % sube; Y: plano; R: baja o no avanza</t>
  </si>
  <si>
    <t>Cuantificación de riesgos en marcha</t>
  </si>
  <si>
    <t>Recursos/datos prioritarios</t>
  </si>
  <si>
    <t>KR 3.3</t>
  </si>
  <si>
    <t>Alcanzar un mínimo de 5 decisiones estratégicas respaldadas por alertas o insights derivados de los límites de riesgo.</t>
  </si>
  <si>
    <t># decisiones usando apetito (acumulado)</t>
  </si>
  <si>
    <t># excepciones escaladas/resueltas</t>
  </si>
  <si>
    <t>Decisiones retrasadas &gt;X días</t>
  </si>
  <si>
    <t>Consejo/Comité</t>
  </si>
  <si>
    <t>G: ≥run-rate; Y: cerca; R: bajo</t>
  </si>
  <si>
    <t>Apetito usado en decisiones reales</t>
  </si>
  <si>
    <t>Alineación/decisión</t>
  </si>
  <si>
    <t>OKR 6</t>
  </si>
  <si>
    <t>Fortalecer la resiliencia organizacional y una cultura de riesgo ética y proactiva</t>
  </si>
  <si>
    <t>KR 3.4</t>
  </si>
  <si>
    <t>Lograr que al menos el 50 % de las alertas de riesgo sean generadas por la primera línea de defensa.</t>
  </si>
  <si>
    <t>% alertas en fase temprana</t>
  </si>
  <si>
    <t>Cobertura de controles / monitoreo</t>
  </si>
  <si>
    <t>Incidentes operacionales</t>
  </si>
  <si>
    <t>Riesgos / Operaciones</t>
  </si>
  <si>
    <t>G: % sube; Y: plano; R: baja</t>
  </si>
  <si>
    <t>Detección temprana está mejorando</t>
  </si>
  <si>
    <t>Invertir en controles</t>
  </si>
  <si>
    <t>KR 3.5</t>
  </si>
  <si>
    <t>Alcanzar el tiempo promedio de respuesta ante riesgos críticos a 72 horas o menos.</t>
  </si>
  <si>
    <t>&lt;72 hrs</t>
  </si>
  <si>
    <t>Tiempo promedio respuesta a incidentes</t>
  </si>
  <si>
    <t>% dentro de 72 hrs</t>
  </si>
  <si>
    <t>Backlog incidentes abiertos</t>
  </si>
  <si>
    <t>G: cumple; Y: 1-2 casos fuera; R: incumple</t>
  </si>
  <si>
    <t>Respuesta a incidentes bajo control</t>
  </si>
  <si>
    <t>Excelencia en Liderazgo, Cultura y Gobernanza</t>
  </si>
  <si>
    <t>OKR 7</t>
  </si>
  <si>
    <t>Generación de Liderazgo Estratégico y Adaptativo</t>
  </si>
  <si>
    <t>KR 4.1</t>
  </si>
  <si>
    <t>Alcanzar Avance Plan estratégico 80%.</t>
  </si>
  <si>
    <t>% avance plan (epics/OKRs)</t>
  </si>
  <si>
    <t>% compromisos en verde (OKR health)</t>
  </si>
  <si>
    <t>Bloqueos críticos / dependencias</t>
  </si>
  <si>
    <t>PMO / Estrategia</t>
  </si>
  <si>
    <t>G: avance &gt;=plan; Y: atraso leve; R: atraso 2 meses</t>
  </si>
  <si>
    <t>Ejecución del plan en ruta / requiere desbloqueo</t>
  </si>
  <si>
    <t>Decisión sobre tradeoffs</t>
  </si>
  <si>
    <t>KR 4.2</t>
  </si>
  <si>
    <t xml:space="preserve"> Incrementar evaluación del comportamiento Liderazgo de 77% al 80%</t>
  </si>
  <si>
    <t>&gt;=77%</t>
  </si>
  <si>
    <t>Cumplimiento prácticas liderazgo (proxy)</t>
  </si>
  <si>
    <t>Cobertura 1:1 / rutinas de liderazgo</t>
  </si>
  <si>
    <t>Rotación / ausentismo</t>
  </si>
  <si>
    <t>RH / Ops</t>
  </si>
  <si>
    <t>G: proxies suben; Y: mixto; R: caen</t>
  </si>
  <si>
    <t>Postura de liderazgo: señales tempranas</t>
  </si>
  <si>
    <t>KR 4.3</t>
  </si>
  <si>
    <t>Alcanzar roles clave con plan de sucesión activo 80%.</t>
  </si>
  <si>
    <t>80%</t>
  </si>
  <si>
    <t>% roles clave con sucesor activo</t>
  </si>
  <si>
    <t>Readiness del sucesor</t>
  </si>
  <si>
    <t>Vacantes críticas</t>
  </si>
  <si>
    <t>RH</t>
  </si>
  <si>
    <t>Sucesión avanzando / riesgo en roles clave</t>
  </si>
  <si>
    <t>OKR 8</t>
  </si>
  <si>
    <t>Gobernanza  orientada a la Sostenibilidad Corporativa</t>
  </si>
  <si>
    <t>KR 4.4</t>
  </si>
  <si>
    <t>Incrementar Indicador de satisfacción de clima laboral global de 67% al 71%.</t>
  </si>
  <si>
    <t>71%</t>
  </si>
  <si>
    <t>Clima (medición trimestral) + proxy mensual</t>
  </si>
  <si>
    <t>Ausentismo + rotación voluntaria</t>
  </si>
  <si>
    <t>Quejas internas / incidentes</t>
  </si>
  <si>
    <t>RH / Gente</t>
  </si>
  <si>
    <t>G: proxies sanos; Y: alerta; R: deterioro</t>
  </si>
  <si>
    <t>Ambiente interno: anticipación temprana</t>
  </si>
  <si>
    <t>KR 4.5</t>
  </si>
  <si>
    <t>Incrementar eNPS de 8.4 a 8.6 de 10.</t>
  </si>
  <si>
    <t>8.6</t>
  </si>
  <si>
    <t>eNPS (trimestral) + pulso operativo mensual</t>
  </si>
  <si>
    <t>Drivers: carga de trabajo/claridad</t>
  </si>
  <si>
    <t>Rotación/absentismo</t>
  </si>
  <si>
    <t>RH / Pulso</t>
  </si>
  <si>
    <t>G: índice mejora; Y: estable; R: baja</t>
  </si>
  <si>
    <t>Energía del equipo: bajo control / riesgo</t>
  </si>
  <si>
    <t>KR 4.6</t>
  </si>
  <si>
    <t>Satisfaccion de Stakeholders de 0 (primera base) a 8.</t>
  </si>
  <si>
    <t>Satisfacción de stakeholders (trimestral)</t>
  </si>
  <si>
    <t>Tiempo respuesta + SLA a stakeholders</t>
  </si>
  <si>
    <t>Escalaciones abiertas</t>
  </si>
  <si>
    <t>Gobierno / Servicio</t>
  </si>
  <si>
    <t>G: tendencia positiva; Y: plana; R: negativa</t>
  </si>
  <si>
    <t>Relación con stakeholders en ruta</t>
  </si>
  <si>
    <t>OKR_ROLLUP — Consolidación automática (KR → OKR Anual)</t>
  </si>
  <si>
    <t>Estatus usa VAR (Verde/Ámbar/Rojo) con gate de KR Crítico + reglas de mezcla.</t>
  </si>
  <si>
    <t>Intención #</t>
  </si>
  <si>
    <t>Intención</t>
  </si>
  <si>
    <t>OKR # (Anual)</t>
  </si>
  <si>
    <t>Objetivo (OKR Anual)</t>
  </si>
  <si>
    <t>KRs</t>
  </si>
  <si>
    <t>#V</t>
  </si>
  <si>
    <t>#A</t>
  </si>
  <si>
    <t>#R</t>
  </si>
  <si>
    <t>Críticos R</t>
  </si>
  <si>
    <t>Críticos A</t>
  </si>
  <si>
    <t>Estatus (V/A/R)</t>
  </si>
  <si>
    <t>Índice de Salud (0-100)</t>
  </si>
  <si>
    <t>Tendencia (↑/→/↓)</t>
  </si>
  <si>
    <t>Confianza (Alta/Media/Baja)</t>
  </si>
  <si>
    <t>Mensaje 1 línea (para Consejo)</t>
  </si>
  <si>
    <t>Solicitud/Decisión (si aplica)</t>
  </si>
  <si>
    <t>↓</t>
  </si>
  <si>
    <t>Baja</t>
  </si>
  <si>
    <t xml:space="preserve">Help Me - SoS - Ayuda </t>
  </si>
  <si>
    <t xml:space="preserve">Recomendar Experto Actuario </t>
  </si>
  <si>
    <t>Activamos nuevo canal alternativo</t>
  </si>
  <si>
    <t>→</t>
  </si>
  <si>
    <t>Media</t>
  </si>
  <si>
    <t>Plan de mitigacion activado</t>
  </si>
  <si>
    <t>Creamos task force para resolucion de los sangramientos operativos</t>
  </si>
  <si>
    <t>↑</t>
  </si>
  <si>
    <t>Alta</t>
  </si>
  <si>
    <t>Monitoreando</t>
  </si>
  <si>
    <t>ALINEACIÓN 2028→2026 — Cobertura de KRs 3 años + Watchlist Horizonte</t>
  </si>
  <si>
    <t>Clasifica los KRs 3 años y selecciona Top 1–5 para visibilidad mensual en el OnePager del Consejo.</t>
  </si>
  <si>
    <t>KR ID 2028</t>
  </si>
  <si>
    <t>KR 2028 (Largo plazo)</t>
  </si>
  <si>
    <t>Habilitadores 2026 (OKR/KR)</t>
  </si>
  <si>
    <t>Gap / Notas</t>
  </si>
  <si>
    <t>Decisión de Cobertura</t>
  </si>
  <si>
    <t>Proxy Año 1 (si aplica)</t>
  </si>
  <si>
    <t>Cadencia</t>
  </si>
  <si>
    <t>Ranking Watchlist (1-5)</t>
  </si>
  <si>
    <t>Estatus Horizonte (V/A/R)</t>
  </si>
  <si>
    <t>Próximo checkpoint (fecha)</t>
  </si>
  <si>
    <t>Mensaje 1 línea</t>
  </si>
  <si>
    <t>Solicitud/Decisión</t>
  </si>
  <si>
    <t>KR 1</t>
  </si>
  <si>
    <t>Mejorar eficiencia operativa al 30%</t>
  </si>
  <si>
    <t>OKR 2 / KR 1.4-1.6</t>
  </si>
  <si>
    <t>Alinear a costo/ingreso y productividad; KR 1.6 es core</t>
  </si>
  <si>
    <t>Cubierto</t>
  </si>
  <si>
    <t>Mensual</t>
  </si>
  <si>
    <t>Externo Analysis del Problema activado</t>
  </si>
  <si>
    <t>Aprobar plan de correction de corto plazo</t>
  </si>
  <si>
    <t>KR 2</t>
  </si>
  <si>
    <t>Aumentar Participación de Mercado 3.6 a 4.5%</t>
  </si>
  <si>
    <t>OKR 1 / KR 1.2-1.3 + OKR 3/KR 2.1</t>
  </si>
  <si>
    <t>Evitar duplicidad 33,335; definir indicador de market share mensual</t>
  </si>
  <si>
    <t>Campana para nuevos socios se debe cambiar a otro mercado basado en resultados preliminares</t>
  </si>
  <si>
    <t>Aprobar Presupuesto y establecer gatillos de escalamiento</t>
  </si>
  <si>
    <t>KR 3</t>
  </si>
  <si>
    <t>Mantener NPS a 8</t>
  </si>
  <si>
    <t>OKR 1 / KR 1.1 + Pulse NPS (servicio)</t>
  </si>
  <si>
    <t>NPS anual: usar proxies mensuales (quejas, resolución, FCR)</t>
  </si>
  <si>
    <t>Incrementar activos totales a MXN $21 mil mdp</t>
  </si>
  <si>
    <t>OKR 1/KR 1.2 + OKR 4/KR 2.4</t>
  </si>
  <si>
    <t>Agregar indicador mensual de activos/depósitos; hoy no está explícito</t>
  </si>
  <si>
    <t>Asignacion a Comision Comercial para profundizar entendimiento de los problemas</t>
  </si>
  <si>
    <t>Establecer prioridades para los cambios del plan de captacion</t>
  </si>
  <si>
    <t>Mantener mora &lt;=8%</t>
  </si>
  <si>
    <t>(no directo)</t>
  </si>
  <si>
    <t>(Añadir KPI mensual)</t>
  </si>
  <si>
    <t>Requiere Proxy Año 1</t>
  </si>
  <si>
    <t>Cobranza perdio 15% de la estructura este mes</t>
  </si>
  <si>
    <t>Aprovar proveedor para corto plazo</t>
  </si>
  <si>
    <t>Crecer en 100,000 nuevos socios activos</t>
  </si>
  <si>
    <t>OKR 3 / KR 2.1</t>
  </si>
  <si>
    <t>OK</t>
  </si>
  <si>
    <t>KR 4</t>
  </si>
  <si>
    <t>50% nuevos socios segmento joven</t>
  </si>
  <si>
    <t>OKR 3 / KR 2.2</t>
  </si>
  <si>
    <t>KR 5</t>
  </si>
  <si>
    <t>25% socios jóvenes onboarding digital</t>
  </si>
  <si>
    <t>OKR 3 / KR 2.3</t>
  </si>
  <si>
    <t>KR 6</t>
  </si>
  <si>
    <t>Mantener ROA 5%</t>
  </si>
  <si>
    <t>Riesgos con límites cuantificados</t>
  </si>
  <si>
    <t>OKR 5 / KR 3.1-3.3</t>
  </si>
  <si>
    <t>TBDs deben definirse en enero; llevar al Consejo para validación</t>
  </si>
  <si>
    <t>Pérdidas operacionales &lt;=1.5% (55 mdp)</t>
  </si>
  <si>
    <t>Eventos identificados temprano &gt;=50%</t>
  </si>
  <si>
    <t>OKR 6 / KR 3.4-3.5</t>
  </si>
  <si>
    <t>Mantener eNPS</t>
  </si>
  <si>
    <t>OKR 8 / KR 4.5 + Pulso Operativo</t>
  </si>
  <si>
    <t>Conectar pulso mensual a eNPS trimestral/anual</t>
  </si>
  <si>
    <t>Plan de sucesión puestos clave</t>
  </si>
  <si>
    <t>OKR 7 / KR 4.3</t>
  </si>
  <si>
    <t>Salud organizacional interna</t>
  </si>
  <si>
    <t>OKR 8 / KR 4.6</t>
  </si>
  <si>
    <t>Definir claramente índice (hoy meta 0.003 en 2028 sheet)</t>
  </si>
  <si>
    <t>Clima laboral</t>
  </si>
  <si>
    <t>OKR 8 / KR 4.4</t>
  </si>
  <si>
    <t>Corregir meta 71%</t>
  </si>
  <si>
    <t>KR 4.7</t>
  </si>
  <si>
    <t>Rotación de personal</t>
  </si>
  <si>
    <t>Avance plan estratégico</t>
  </si>
  <si>
    <t>OKR 7 / KR 4.1</t>
  </si>
  <si>
    <t>VCF — Pulso Mensual de OKRs (Vista para Consejo)</t>
  </si>
  <si>
    <t>Mensual: OKRs 1 año (pulso). Horizonte: Top 1–5 KRs 3 años. Conversación = excepciones + decisiones.</t>
  </si>
  <si>
    <t>OKR</t>
  </si>
  <si>
    <t>Tendencia</t>
  </si>
  <si>
    <t>Confianza</t>
  </si>
  <si>
    <t>Mensaje (1 línea)</t>
  </si>
  <si>
    <t>Watchlist Horizonte (KRs 3 años) — Top 1–5</t>
  </si>
  <si>
    <t>Rank</t>
  </si>
  <si>
    <t>KR 3 años</t>
  </si>
  <si>
    <t>Cobertura</t>
  </si>
  <si>
    <t>Próximo checkpoint</t>
  </si>
  <si>
    <t>MASTER 2028 — KRs 3 años (Referencia)</t>
  </si>
  <si>
    <t>Referencia para mantener línea de vista. La operación mensual se gestiona por el Watchlist Horizonte.</t>
  </si>
  <si>
    <t># DE LA INTENCION</t>
  </si>
  <si>
    <t>Desc Intención</t>
  </si>
  <si>
    <t>KR DESCRIPCION</t>
  </si>
  <si>
    <t>RESPONSABLE</t>
  </si>
  <si>
    <t>META 2028</t>
  </si>
  <si>
    <t>CRITERIOS DE SEMAFORACIZACION</t>
  </si>
  <si>
    <t>Capacidad Transformacional y Diferenciada</t>
  </si>
  <si>
    <t>DG - C. Gerencial 
(FT: Alejandro Lomelí)</t>
  </si>
  <si>
    <t>PUNTO DE DOLOR MAXIMO TOPE DE TOLERANCIA = ROLJO</t>
  </si>
  <si>
    <t>Aumentar Participación de Mercado 3.6 a 4.5% (21 mil millones - sector / activos totales)</t>
  </si>
  <si>
    <t>Arturo Ramírez - José Zeferino Ruíz</t>
  </si>
  <si>
    <t>De 3.6 a 4.5%</t>
  </si>
  <si>
    <t>KR3 - Mantener NPS a 8</t>
  </si>
  <si>
    <t>Arturo Ramírez - Aldo Ramírez</t>
  </si>
  <si>
    <t>Incrementar los activos totales a MXN $21 mil millones de forma acumulada</t>
  </si>
  <si>
    <t xml:space="preserve">MXN $21 mil millones </t>
  </si>
  <si>
    <t>MXN $15,270</t>
  </si>
  <si>
    <t>Mantener calidad de cartera (mora) no mayor al 8%</t>
  </si>
  <si>
    <t>Javier Gutiérrez</t>
  </si>
  <si>
    <t>Crecer en 100,000 nuevos socios activos*</t>
  </si>
  <si>
    <t>100,000 nuevos socios activos</t>
  </si>
  <si>
    <t>Alcanzar 50% (50,000) de los nuevos socios activos pertenezcan al segmento joven</t>
  </si>
  <si>
    <t>50% (50,000) socios activos segmento jóven</t>
  </si>
  <si>
    <t>Alcanzar 25% o 12,500 de los socios jóvenes por canal dig. (nuevos y actuales)</t>
  </si>
  <si>
    <t xml:space="preserve">25% o 12,500 socios jóvenes </t>
  </si>
  <si>
    <t>Mantener un Retorno sobre Activos (ROA) del 5%</t>
  </si>
  <si>
    <t>Establecer una robusta y efectiva gestión y cultura de riesgos</t>
  </si>
  <si>
    <t>Porcentaje de riesgos con límites cuantificados bajo modelos avanzados, 100% (año 3)</t>
  </si>
  <si>
    <t>100% (año 3)</t>
  </si>
  <si>
    <t>100% del plan definido y aprobado año 1</t>
  </si>
  <si>
    <t>Pérdidas operacionales respecto de ingresos operacionales &lt;=1.5%</t>
  </si>
  <si>
    <t>&lt;=1.5%</t>
  </si>
  <si>
    <t>Tope: 
&lt;=1.5% 
($55mdp)</t>
  </si>
  <si>
    <t>Porcentaje de eventos identificados en fase temprana (antes de materialización): 50% (año 1), 75% (año 2), 100% (año 3)</t>
  </si>
  <si>
    <t>Año 1: 50%
Año 2: 75%
Año 3: 100%</t>
  </si>
  <si>
    <t>Cultura y gobernanza saludable y sostenible</t>
  </si>
  <si>
    <t>Mantener eNPS de 9 de 10</t>
  </si>
  <si>
    <t>Erika Arellano - Elizabeth Sánchez</t>
  </si>
  <si>
    <t>Mantener 95% Plan de Sucesión de Puestos clave</t>
  </si>
  <si>
    <t>Erika Arellano - Andrea Silva</t>
  </si>
  <si>
    <t>Alcanzar el Índice de Salud Organizacional Integral de .3%</t>
  </si>
  <si>
    <t xml:space="preserve">         • KR4.4  Clima Laboral Global (SOI-CLG) 2026</t>
  </si>
  <si>
    <t>KR 7</t>
  </si>
  <si>
    <t xml:space="preserve">         • KR7. Indice de Rotación de Personal (SOI-IRP) 2026</t>
  </si>
  <si>
    <t xml:space="preserve">         • KR4.1 Alcanzar Avance** Plan estratégico 80%</t>
  </si>
  <si>
    <t>Myriam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</si>
</sst>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color rgb="FF40404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29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sqref="A1:H1"/>
    </sheetView>
  </sheetViews>
  <sheetFormatPr defaultColWidth="8.85546875" defaultRowHeight="15"/>
  <cols>
    <col min="1" max="1" width="90" customWidth="1"/>
    <col min="2" max="8" width="22" customWidth="1"/>
  </cols>
  <sheetData>
    <row r="1" spans="1:8">
      <c r="A1" s="38" t="s">
        <v>0</v>
      </c>
      <c r="B1" s="42"/>
      <c r="C1" s="42"/>
      <c r="D1" s="42"/>
      <c r="E1" s="42"/>
      <c r="F1" s="42"/>
      <c r="G1" s="42"/>
      <c r="H1" s="42"/>
    </row>
    <row r="2" spans="1:8">
      <c r="A2" s="37" t="s">
        <v>1</v>
      </c>
      <c r="B2" s="42"/>
      <c r="C2" s="42"/>
      <c r="D2" s="42"/>
      <c r="E2" s="42"/>
      <c r="F2" s="42"/>
      <c r="G2" s="42"/>
      <c r="H2" s="42"/>
    </row>
    <row r="4" spans="1:8">
      <c r="A4" s="39" t="s">
        <v>2</v>
      </c>
      <c r="B4" s="42"/>
      <c r="C4" s="42"/>
      <c r="D4" s="42"/>
      <c r="E4" s="42"/>
      <c r="F4" s="42"/>
      <c r="G4" s="42"/>
      <c r="H4" s="42"/>
    </row>
    <row r="5" spans="1:8">
      <c r="A5" s="39" t="s">
        <v>3</v>
      </c>
      <c r="B5" s="42"/>
      <c r="C5" s="42"/>
      <c r="D5" s="42"/>
      <c r="E5" s="42"/>
      <c r="F5" s="42"/>
      <c r="G5" s="42"/>
      <c r="H5" s="42"/>
    </row>
    <row r="6" spans="1:8">
      <c r="A6" s="39" t="s">
        <v>4</v>
      </c>
      <c r="B6" s="42"/>
      <c r="C6" s="42"/>
      <c r="D6" s="42"/>
      <c r="E6" s="42"/>
      <c r="F6" s="42"/>
      <c r="G6" s="42"/>
      <c r="H6" s="42"/>
    </row>
    <row r="7" spans="1:8">
      <c r="A7" s="39" t="s">
        <v>5</v>
      </c>
      <c r="B7" s="42"/>
      <c r="C7" s="42"/>
      <c r="D7" s="42"/>
      <c r="E7" s="42"/>
      <c r="F7" s="42"/>
      <c r="G7" s="42"/>
      <c r="H7" s="42"/>
    </row>
  </sheetData>
  <mergeCells count="6">
    <mergeCell ref="A1:H1"/>
    <mergeCell ref="A4:H4"/>
    <mergeCell ref="A7:H7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showGridLines="0" workbookViewId="0">
      <pane ySplit="4" topLeftCell="A8" activePane="bottomLeft" state="frozen"/>
      <selection pane="bottomLeft" activeCell="T10" sqref="T10"/>
    </sheetView>
  </sheetViews>
  <sheetFormatPr defaultColWidth="8.85546875" defaultRowHeight="15"/>
  <cols>
    <col min="1" max="1" width="14" customWidth="1"/>
    <col min="2" max="2" width="38" customWidth="1"/>
    <col min="3" max="5" width="14" customWidth="1"/>
    <col min="6" max="6" width="44" customWidth="1"/>
    <col min="7" max="7" width="14" customWidth="1"/>
    <col min="8" max="8" width="50.85546875" customWidth="1"/>
    <col min="9" max="12" width="16" customWidth="1"/>
    <col min="13" max="13" width="14" customWidth="1"/>
    <col min="14" max="16" width="28" customWidth="1"/>
    <col min="17" max="17" width="20" customWidth="1"/>
    <col min="18" max="18" width="24" customWidth="1"/>
    <col min="19" max="19" width="34" customWidth="1"/>
    <col min="20" max="20" width="28" customWidth="1"/>
    <col min="21" max="21" width="14" customWidth="1"/>
    <col min="22" max="22" width="16" customWidth="1"/>
    <col min="23" max="24" width="14" customWidth="1"/>
  </cols>
  <sheetData>
    <row r="1" spans="1:24" ht="21.95" customHeight="1">
      <c r="A1" s="40" t="s">
        <v>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4" ht="18" customHeight="1">
      <c r="A2" s="37" t="s">
        <v>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4" spans="1:24" ht="48" customHeight="1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41" t="s">
        <v>21</v>
      </c>
      <c r="O4" s="41" t="s">
        <v>22</v>
      </c>
      <c r="P4" s="4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</row>
    <row r="5" spans="1:24" ht="39.950000000000003" customHeight="1">
      <c r="A5" s="10">
        <v>1</v>
      </c>
      <c r="B5" s="11" t="s">
        <v>32</v>
      </c>
      <c r="C5" s="10">
        <v>1</v>
      </c>
      <c r="D5" s="10" t="s">
        <v>33</v>
      </c>
      <c r="E5" s="10">
        <v>1</v>
      </c>
      <c r="F5" s="10" t="s">
        <v>34</v>
      </c>
      <c r="G5" s="10" t="s">
        <v>35</v>
      </c>
      <c r="H5" s="11" t="s">
        <v>36</v>
      </c>
      <c r="I5" s="10">
        <v>8</v>
      </c>
      <c r="J5" s="10">
        <v>6</v>
      </c>
      <c r="K5" s="10"/>
      <c r="L5" s="10"/>
      <c r="M5" s="10" t="s">
        <v>37</v>
      </c>
      <c r="N5" s="11" t="s">
        <v>38</v>
      </c>
      <c r="O5" s="11" t="s">
        <v>39</v>
      </c>
      <c r="P5" s="11" t="s">
        <v>40</v>
      </c>
      <c r="Q5" s="10" t="s">
        <v>41</v>
      </c>
      <c r="R5" s="11" t="s">
        <v>42</v>
      </c>
      <c r="S5" s="11" t="s">
        <v>43</v>
      </c>
      <c r="T5" s="11" t="s">
        <v>44</v>
      </c>
      <c r="U5" s="10" t="s">
        <v>45</v>
      </c>
      <c r="V5" s="10" t="s">
        <v>46</v>
      </c>
      <c r="W5" s="10">
        <f t="shared" ref="W5:W25" si="0">IF(V5="V",0,IF(V5="A",1,IF(V5="R",2,"")))</f>
        <v>1</v>
      </c>
      <c r="X5" s="12">
        <f t="shared" ref="X5:X25" ca="1" si="1">IF(V5&lt;&gt;"",TODAY(),"")</f>
        <v>46141</v>
      </c>
    </row>
    <row r="6" spans="1:24" ht="39.950000000000003" customHeight="1">
      <c r="A6" s="10">
        <v>1</v>
      </c>
      <c r="B6" s="11" t="s">
        <v>32</v>
      </c>
      <c r="C6" s="10">
        <v>1</v>
      </c>
      <c r="D6" s="10" t="s">
        <v>33</v>
      </c>
      <c r="E6" s="10">
        <v>2</v>
      </c>
      <c r="F6" s="10" t="s">
        <v>34</v>
      </c>
      <c r="G6" s="10" t="s">
        <v>47</v>
      </c>
      <c r="H6" s="11" t="s">
        <v>48</v>
      </c>
      <c r="I6" s="10" t="s">
        <v>49</v>
      </c>
      <c r="J6" s="10"/>
      <c r="K6" s="10"/>
      <c r="L6" s="10"/>
      <c r="M6" s="10" t="s">
        <v>37</v>
      </c>
      <c r="N6" s="11" t="s">
        <v>50</v>
      </c>
      <c r="O6" s="11" t="s">
        <v>51</v>
      </c>
      <c r="P6" s="11" t="s">
        <v>52</v>
      </c>
      <c r="Q6" s="10" t="s">
        <v>53</v>
      </c>
      <c r="R6" s="11" t="s">
        <v>54</v>
      </c>
      <c r="S6" s="11" t="s">
        <v>55</v>
      </c>
      <c r="T6" s="11" t="s">
        <v>56</v>
      </c>
      <c r="U6" s="10" t="s">
        <v>57</v>
      </c>
      <c r="V6" s="13" t="s">
        <v>58</v>
      </c>
      <c r="W6" s="10">
        <f t="shared" si="0"/>
        <v>2</v>
      </c>
      <c r="X6" s="12">
        <f t="shared" ca="1" si="1"/>
        <v>46141</v>
      </c>
    </row>
    <row r="7" spans="1:24" ht="39.950000000000003" customHeight="1">
      <c r="A7" s="10">
        <v>1</v>
      </c>
      <c r="B7" s="11" t="s">
        <v>32</v>
      </c>
      <c r="C7" s="10">
        <v>1</v>
      </c>
      <c r="D7" s="10" t="s">
        <v>33</v>
      </c>
      <c r="E7" s="10">
        <v>3</v>
      </c>
      <c r="F7" s="10" t="s">
        <v>34</v>
      </c>
      <c r="G7" s="10" t="s">
        <v>59</v>
      </c>
      <c r="H7" s="11" t="s">
        <v>60</v>
      </c>
      <c r="I7" s="10" t="s">
        <v>61</v>
      </c>
      <c r="J7" s="10"/>
      <c r="K7" s="10"/>
      <c r="L7" s="10"/>
      <c r="M7" s="10" t="s">
        <v>37</v>
      </c>
      <c r="N7" s="11" t="s">
        <v>62</v>
      </c>
      <c r="O7" s="11" t="s">
        <v>63</v>
      </c>
      <c r="P7" s="11" t="s">
        <v>64</v>
      </c>
      <c r="Q7" s="10" t="s">
        <v>65</v>
      </c>
      <c r="R7" s="11" t="s">
        <v>66</v>
      </c>
      <c r="S7" s="11" t="s">
        <v>67</v>
      </c>
      <c r="T7" s="11" t="s">
        <v>44</v>
      </c>
      <c r="U7" s="10" t="s">
        <v>45</v>
      </c>
      <c r="V7" s="14" t="s">
        <v>68</v>
      </c>
      <c r="W7" s="10">
        <f t="shared" si="0"/>
        <v>0</v>
      </c>
      <c r="X7" s="12">
        <f t="shared" ca="1" si="1"/>
        <v>46141</v>
      </c>
    </row>
    <row r="8" spans="1:24" ht="45.75">
      <c r="A8" s="10">
        <v>1</v>
      </c>
      <c r="B8" s="11" t="s">
        <v>32</v>
      </c>
      <c r="C8" s="10">
        <v>2</v>
      </c>
      <c r="D8" s="10" t="s">
        <v>69</v>
      </c>
      <c r="E8" s="10">
        <v>4</v>
      </c>
      <c r="F8" s="10" t="s">
        <v>70</v>
      </c>
      <c r="G8" s="10" t="s">
        <v>71</v>
      </c>
      <c r="H8" s="11" t="s">
        <v>72</v>
      </c>
      <c r="I8" s="10" t="s">
        <v>73</v>
      </c>
      <c r="J8" s="10"/>
      <c r="K8" s="10"/>
      <c r="L8" s="10"/>
      <c r="M8" s="10" t="s">
        <v>74</v>
      </c>
      <c r="N8" s="11" t="s">
        <v>75</v>
      </c>
      <c r="O8" s="11" t="s">
        <v>76</v>
      </c>
      <c r="P8" s="11" t="s">
        <v>77</v>
      </c>
      <c r="Q8" s="10" t="s">
        <v>78</v>
      </c>
      <c r="R8" s="11" t="s">
        <v>79</v>
      </c>
      <c r="S8" s="11" t="s">
        <v>80</v>
      </c>
      <c r="T8" s="11" t="s">
        <v>81</v>
      </c>
      <c r="U8" s="10" t="s">
        <v>57</v>
      </c>
      <c r="V8" s="14" t="s">
        <v>68</v>
      </c>
      <c r="W8" s="10">
        <f t="shared" si="0"/>
        <v>0</v>
      </c>
      <c r="X8" s="12">
        <f t="shared" ca="1" si="1"/>
        <v>46141</v>
      </c>
    </row>
    <row r="9" spans="1:24" ht="39.950000000000003" customHeight="1">
      <c r="A9" s="10">
        <v>1</v>
      </c>
      <c r="B9" s="11" t="s">
        <v>32</v>
      </c>
      <c r="C9" s="10">
        <v>2</v>
      </c>
      <c r="D9" s="10" t="s">
        <v>69</v>
      </c>
      <c r="E9" s="10">
        <v>5</v>
      </c>
      <c r="F9" s="10" t="s">
        <v>70</v>
      </c>
      <c r="G9" s="10" t="s">
        <v>82</v>
      </c>
      <c r="H9" s="11" t="s">
        <v>83</v>
      </c>
      <c r="I9" s="10">
        <v>0.8</v>
      </c>
      <c r="J9" s="10"/>
      <c r="K9" s="10"/>
      <c r="L9" s="10"/>
      <c r="M9" s="10" t="s">
        <v>74</v>
      </c>
      <c r="N9" s="11" t="s">
        <v>84</v>
      </c>
      <c r="O9" s="11" t="s">
        <v>85</v>
      </c>
      <c r="P9" s="11" t="s">
        <v>86</v>
      </c>
      <c r="Q9" s="10" t="s">
        <v>87</v>
      </c>
      <c r="R9" s="11" t="s">
        <v>88</v>
      </c>
      <c r="S9" s="11" t="s">
        <v>89</v>
      </c>
      <c r="T9" s="11" t="s">
        <v>90</v>
      </c>
      <c r="U9" s="10" t="s">
        <v>91</v>
      </c>
      <c r="V9" s="14" t="s">
        <v>46</v>
      </c>
      <c r="W9" s="10">
        <f t="shared" si="0"/>
        <v>1</v>
      </c>
      <c r="X9" s="12">
        <f t="shared" ca="1" si="1"/>
        <v>46141</v>
      </c>
    </row>
    <row r="10" spans="1:24" ht="39.950000000000003" customHeight="1">
      <c r="A10" s="10">
        <v>1</v>
      </c>
      <c r="B10" s="11" t="s">
        <v>32</v>
      </c>
      <c r="C10" s="10">
        <v>2</v>
      </c>
      <c r="D10" s="10" t="s">
        <v>69</v>
      </c>
      <c r="E10" s="10">
        <v>6</v>
      </c>
      <c r="F10" s="10" t="s">
        <v>70</v>
      </c>
      <c r="G10" s="10" t="s">
        <v>92</v>
      </c>
      <c r="H10" s="11" t="s">
        <v>93</v>
      </c>
      <c r="I10" s="10">
        <v>0.47199999999999998</v>
      </c>
      <c r="J10" s="10"/>
      <c r="K10" s="10"/>
      <c r="L10" s="10"/>
      <c r="M10" s="10" t="s">
        <v>37</v>
      </c>
      <c r="N10" s="11" t="s">
        <v>94</v>
      </c>
      <c r="O10" s="11" t="s">
        <v>95</v>
      </c>
      <c r="P10" s="11" t="s">
        <v>96</v>
      </c>
      <c r="Q10" s="10" t="s">
        <v>97</v>
      </c>
      <c r="R10" s="11" t="s">
        <v>98</v>
      </c>
      <c r="S10" s="11" t="s">
        <v>99</v>
      </c>
      <c r="T10" s="11"/>
      <c r="U10" s="10" t="s">
        <v>45</v>
      </c>
      <c r="V10" s="13" t="s">
        <v>58</v>
      </c>
      <c r="W10" s="10">
        <f t="shared" si="0"/>
        <v>2</v>
      </c>
      <c r="X10" s="12">
        <f t="shared" ca="1" si="1"/>
        <v>46141</v>
      </c>
    </row>
    <row r="11" spans="1:24" ht="39.950000000000003" customHeight="1">
      <c r="A11" s="15">
        <v>2</v>
      </c>
      <c r="B11" s="16" t="s">
        <v>100</v>
      </c>
      <c r="C11" s="15">
        <v>3</v>
      </c>
      <c r="D11" s="15" t="s">
        <v>101</v>
      </c>
      <c r="E11" s="15">
        <v>7</v>
      </c>
      <c r="F11" s="15" t="s">
        <v>102</v>
      </c>
      <c r="G11" s="15" t="s">
        <v>103</v>
      </c>
      <c r="H11" s="16" t="s">
        <v>104</v>
      </c>
      <c r="I11" s="15" t="s">
        <v>61</v>
      </c>
      <c r="J11" s="15"/>
      <c r="K11" s="15"/>
      <c r="L11" s="15"/>
      <c r="M11" s="15" t="s">
        <v>37</v>
      </c>
      <c r="N11" s="16" t="s">
        <v>105</v>
      </c>
      <c r="O11" s="16" t="s">
        <v>106</v>
      </c>
      <c r="P11" s="16" t="s">
        <v>107</v>
      </c>
      <c r="Q11" s="15" t="s">
        <v>108</v>
      </c>
      <c r="R11" s="16" t="s">
        <v>109</v>
      </c>
      <c r="S11" s="16" t="s">
        <v>110</v>
      </c>
      <c r="T11" s="16" t="s">
        <v>44</v>
      </c>
      <c r="U11" s="15" t="s">
        <v>57</v>
      </c>
      <c r="V11" s="17" t="s">
        <v>68</v>
      </c>
      <c r="W11" s="15">
        <f t="shared" si="0"/>
        <v>0</v>
      </c>
      <c r="X11" s="18">
        <f t="shared" ca="1" si="1"/>
        <v>46141</v>
      </c>
    </row>
    <row r="12" spans="1:24" ht="39.950000000000003" customHeight="1">
      <c r="A12" s="15">
        <v>2</v>
      </c>
      <c r="B12" s="16" t="s">
        <v>100</v>
      </c>
      <c r="C12" s="15">
        <v>3</v>
      </c>
      <c r="D12" s="15" t="s">
        <v>101</v>
      </c>
      <c r="E12" s="15">
        <v>8</v>
      </c>
      <c r="F12" s="15" t="s">
        <v>102</v>
      </c>
      <c r="G12" s="15" t="s">
        <v>111</v>
      </c>
      <c r="H12" s="16" t="s">
        <v>112</v>
      </c>
      <c r="I12" s="15">
        <v>0.35</v>
      </c>
      <c r="J12" s="15"/>
      <c r="K12" s="15"/>
      <c r="L12" s="15"/>
      <c r="M12" s="15" t="s">
        <v>37</v>
      </c>
      <c r="N12" s="16" t="s">
        <v>113</v>
      </c>
      <c r="O12" s="16" t="s">
        <v>114</v>
      </c>
      <c r="P12" s="16" t="s">
        <v>115</v>
      </c>
      <c r="Q12" s="15" t="s">
        <v>116</v>
      </c>
      <c r="R12" s="16" t="s">
        <v>117</v>
      </c>
      <c r="S12" s="16" t="s">
        <v>118</v>
      </c>
      <c r="T12" s="16" t="s">
        <v>119</v>
      </c>
      <c r="U12" s="15" t="s">
        <v>57</v>
      </c>
      <c r="V12" s="17" t="s">
        <v>46</v>
      </c>
      <c r="W12" s="15">
        <f t="shared" si="0"/>
        <v>1</v>
      </c>
      <c r="X12" s="18">
        <f t="shared" ca="1" si="1"/>
        <v>46141</v>
      </c>
    </row>
    <row r="13" spans="1:24" ht="39.950000000000003" customHeight="1">
      <c r="A13" s="15">
        <v>2</v>
      </c>
      <c r="B13" s="16" t="s">
        <v>100</v>
      </c>
      <c r="C13" s="15">
        <v>3</v>
      </c>
      <c r="D13" s="15" t="s">
        <v>101</v>
      </c>
      <c r="E13" s="15">
        <v>9</v>
      </c>
      <c r="F13" s="15" t="s">
        <v>102</v>
      </c>
      <c r="G13" s="15" t="s">
        <v>120</v>
      </c>
      <c r="H13" s="16" t="s">
        <v>121</v>
      </c>
      <c r="I13" s="15" t="s">
        <v>122</v>
      </c>
      <c r="J13" s="15"/>
      <c r="K13" s="15"/>
      <c r="L13" s="15"/>
      <c r="M13" s="15" t="s">
        <v>74</v>
      </c>
      <c r="N13" s="16" t="s">
        <v>123</v>
      </c>
      <c r="O13" s="16" t="s">
        <v>124</v>
      </c>
      <c r="P13" s="16" t="s">
        <v>125</v>
      </c>
      <c r="Q13" s="15" t="s">
        <v>126</v>
      </c>
      <c r="R13" s="16" t="s">
        <v>127</v>
      </c>
      <c r="S13" s="16" t="s">
        <v>128</v>
      </c>
      <c r="T13" s="16" t="s">
        <v>129</v>
      </c>
      <c r="U13" s="15" t="s">
        <v>45</v>
      </c>
      <c r="V13" s="17" t="s">
        <v>46</v>
      </c>
      <c r="W13" s="15">
        <f t="shared" si="0"/>
        <v>1</v>
      </c>
      <c r="X13" s="18">
        <f t="shared" ca="1" si="1"/>
        <v>46141</v>
      </c>
    </row>
    <row r="14" spans="1:24" ht="39.950000000000003" customHeight="1">
      <c r="A14" s="15">
        <v>2</v>
      </c>
      <c r="B14" s="16" t="s">
        <v>100</v>
      </c>
      <c r="C14" s="15">
        <v>4</v>
      </c>
      <c r="D14" s="15" t="s">
        <v>130</v>
      </c>
      <c r="E14" s="15">
        <v>10</v>
      </c>
      <c r="F14" s="15" t="s">
        <v>131</v>
      </c>
      <c r="G14" s="15" t="s">
        <v>132</v>
      </c>
      <c r="H14" s="16" t="s">
        <v>133</v>
      </c>
      <c r="I14" s="15">
        <v>7200</v>
      </c>
      <c r="J14" s="15"/>
      <c r="K14" s="15"/>
      <c r="L14" s="15"/>
      <c r="M14" s="15" t="s">
        <v>37</v>
      </c>
      <c r="N14" s="16" t="s">
        <v>134</v>
      </c>
      <c r="O14" s="16" t="s">
        <v>135</v>
      </c>
      <c r="P14" s="16" t="s">
        <v>136</v>
      </c>
      <c r="Q14" s="15" t="s">
        <v>137</v>
      </c>
      <c r="R14" s="16" t="s">
        <v>138</v>
      </c>
      <c r="S14" s="16" t="s">
        <v>139</v>
      </c>
      <c r="T14" s="16" t="s">
        <v>140</v>
      </c>
      <c r="U14" s="15" t="s">
        <v>57</v>
      </c>
      <c r="V14" s="17" t="s">
        <v>68</v>
      </c>
      <c r="W14" s="15">
        <f t="shared" si="0"/>
        <v>0</v>
      </c>
      <c r="X14" s="18">
        <f t="shared" ca="1" si="1"/>
        <v>46141</v>
      </c>
    </row>
    <row r="15" spans="1:24" ht="53.25" customHeight="1">
      <c r="A15" s="15">
        <v>3</v>
      </c>
      <c r="B15" s="16" t="s">
        <v>141</v>
      </c>
      <c r="C15" s="15">
        <v>5</v>
      </c>
      <c r="D15" s="15" t="s">
        <v>142</v>
      </c>
      <c r="E15" s="15">
        <v>11</v>
      </c>
      <c r="F15" s="15" t="s">
        <v>143</v>
      </c>
      <c r="G15" s="15" t="s">
        <v>144</v>
      </c>
      <c r="H15" s="16" t="s">
        <v>145</v>
      </c>
      <c r="I15" s="15" t="s">
        <v>146</v>
      </c>
      <c r="J15" s="15"/>
      <c r="K15" s="15"/>
      <c r="L15" s="15"/>
      <c r="M15" s="15" t="s">
        <v>37</v>
      </c>
      <c r="N15" s="16" t="s">
        <v>147</v>
      </c>
      <c r="O15" s="16" t="s">
        <v>148</v>
      </c>
      <c r="P15" s="16" t="s">
        <v>149</v>
      </c>
      <c r="Q15" s="15" t="s">
        <v>150</v>
      </c>
      <c r="R15" s="16" t="s">
        <v>151</v>
      </c>
      <c r="S15" s="16" t="s">
        <v>152</v>
      </c>
      <c r="T15" s="16" t="s">
        <v>153</v>
      </c>
      <c r="U15" s="15" t="s">
        <v>57</v>
      </c>
      <c r="V15" s="17" t="s">
        <v>68</v>
      </c>
      <c r="W15" s="15">
        <f t="shared" si="0"/>
        <v>0</v>
      </c>
      <c r="X15" s="18">
        <f t="shared" ca="1" si="1"/>
        <v>46141</v>
      </c>
    </row>
    <row r="16" spans="1:24" ht="39.950000000000003" customHeight="1">
      <c r="A16" s="19">
        <v>3</v>
      </c>
      <c r="B16" s="20" t="s">
        <v>141</v>
      </c>
      <c r="C16" s="19">
        <v>5</v>
      </c>
      <c r="D16" s="19" t="s">
        <v>142</v>
      </c>
      <c r="E16" s="19">
        <v>12</v>
      </c>
      <c r="F16" s="19" t="s">
        <v>143</v>
      </c>
      <c r="G16" s="19" t="s">
        <v>154</v>
      </c>
      <c r="H16" s="20" t="s">
        <v>155</v>
      </c>
      <c r="I16" s="19" t="s">
        <v>156</v>
      </c>
      <c r="J16" s="19"/>
      <c r="K16" s="19"/>
      <c r="L16" s="19"/>
      <c r="M16" s="19" t="s">
        <v>37</v>
      </c>
      <c r="N16" s="20" t="s">
        <v>157</v>
      </c>
      <c r="O16" s="20" t="s">
        <v>158</v>
      </c>
      <c r="P16" s="20" t="s">
        <v>159</v>
      </c>
      <c r="Q16" s="19" t="s">
        <v>160</v>
      </c>
      <c r="R16" s="20" t="s">
        <v>161</v>
      </c>
      <c r="S16" s="20" t="s">
        <v>162</v>
      </c>
      <c r="T16" s="20" t="s">
        <v>163</v>
      </c>
      <c r="U16" s="19" t="s">
        <v>57</v>
      </c>
      <c r="V16" s="21" t="s">
        <v>68</v>
      </c>
      <c r="W16" s="19">
        <f t="shared" si="0"/>
        <v>0</v>
      </c>
      <c r="X16" s="22">
        <f t="shared" ca="1" si="1"/>
        <v>46141</v>
      </c>
    </row>
    <row r="17" spans="1:24" ht="39.950000000000003" customHeight="1">
      <c r="A17" s="19">
        <v>3</v>
      </c>
      <c r="B17" s="20" t="s">
        <v>141</v>
      </c>
      <c r="C17" s="19">
        <v>5</v>
      </c>
      <c r="D17" s="19" t="s">
        <v>142</v>
      </c>
      <c r="E17" s="19">
        <v>13</v>
      </c>
      <c r="F17" s="19" t="s">
        <v>143</v>
      </c>
      <c r="G17" s="19" t="s">
        <v>164</v>
      </c>
      <c r="H17" s="20" t="s">
        <v>165</v>
      </c>
      <c r="I17" s="19" t="s">
        <v>156</v>
      </c>
      <c r="J17" s="19"/>
      <c r="K17" s="19"/>
      <c r="L17" s="19"/>
      <c r="M17" s="19" t="s">
        <v>37</v>
      </c>
      <c r="N17" s="20" t="s">
        <v>166</v>
      </c>
      <c r="O17" s="20" t="s">
        <v>167</v>
      </c>
      <c r="P17" s="20" t="s">
        <v>168</v>
      </c>
      <c r="Q17" s="19" t="s">
        <v>169</v>
      </c>
      <c r="R17" s="20" t="s">
        <v>170</v>
      </c>
      <c r="S17" s="20" t="s">
        <v>171</v>
      </c>
      <c r="T17" s="20" t="s">
        <v>172</v>
      </c>
      <c r="U17" s="19" t="s">
        <v>45</v>
      </c>
      <c r="V17" s="21" t="s">
        <v>68</v>
      </c>
      <c r="W17" s="19">
        <f t="shared" si="0"/>
        <v>0</v>
      </c>
      <c r="X17" s="22">
        <f t="shared" ca="1" si="1"/>
        <v>46141</v>
      </c>
    </row>
    <row r="18" spans="1:24" ht="39.950000000000003" customHeight="1">
      <c r="A18" s="19">
        <v>3</v>
      </c>
      <c r="B18" s="20" t="s">
        <v>141</v>
      </c>
      <c r="C18" s="19">
        <v>6</v>
      </c>
      <c r="D18" s="19" t="s">
        <v>173</v>
      </c>
      <c r="E18" s="19">
        <v>14</v>
      </c>
      <c r="F18" s="19" t="s">
        <v>174</v>
      </c>
      <c r="G18" s="19" t="s">
        <v>175</v>
      </c>
      <c r="H18" s="20" t="s">
        <v>176</v>
      </c>
      <c r="I18" s="19" t="s">
        <v>156</v>
      </c>
      <c r="J18" s="19"/>
      <c r="K18" s="19"/>
      <c r="L18" s="19"/>
      <c r="M18" s="19" t="s">
        <v>74</v>
      </c>
      <c r="N18" s="20" t="s">
        <v>177</v>
      </c>
      <c r="O18" s="20" t="s">
        <v>178</v>
      </c>
      <c r="P18" s="20" t="s">
        <v>179</v>
      </c>
      <c r="Q18" s="19" t="s">
        <v>180</v>
      </c>
      <c r="R18" s="20" t="s">
        <v>181</v>
      </c>
      <c r="S18" s="23" t="s">
        <v>182</v>
      </c>
      <c r="T18" s="20" t="s">
        <v>183</v>
      </c>
      <c r="U18" s="19" t="s">
        <v>57</v>
      </c>
      <c r="V18" s="21" t="s">
        <v>68</v>
      </c>
      <c r="W18" s="19">
        <f t="shared" si="0"/>
        <v>0</v>
      </c>
      <c r="X18" s="22">
        <f t="shared" ca="1" si="1"/>
        <v>46141</v>
      </c>
    </row>
    <row r="19" spans="1:24" ht="39.950000000000003" customHeight="1">
      <c r="A19" s="19">
        <v>3</v>
      </c>
      <c r="B19" s="20" t="s">
        <v>141</v>
      </c>
      <c r="C19" s="19">
        <v>6</v>
      </c>
      <c r="D19" s="19" t="s">
        <v>173</v>
      </c>
      <c r="E19" s="19">
        <v>15</v>
      </c>
      <c r="F19" s="19" t="s">
        <v>174</v>
      </c>
      <c r="G19" s="19" t="s">
        <v>184</v>
      </c>
      <c r="H19" s="20" t="s">
        <v>185</v>
      </c>
      <c r="I19" s="19" t="s">
        <v>186</v>
      </c>
      <c r="J19" s="19"/>
      <c r="K19" s="19"/>
      <c r="L19" s="19"/>
      <c r="M19" s="19" t="s">
        <v>37</v>
      </c>
      <c r="N19" s="20" t="s">
        <v>187</v>
      </c>
      <c r="O19" s="20" t="s">
        <v>188</v>
      </c>
      <c r="P19" s="20" t="s">
        <v>189</v>
      </c>
      <c r="Q19" s="19" t="s">
        <v>180</v>
      </c>
      <c r="R19" s="20" t="s">
        <v>190</v>
      </c>
      <c r="S19" s="20" t="s">
        <v>191</v>
      </c>
      <c r="T19" s="20" t="s">
        <v>44</v>
      </c>
      <c r="U19" s="19" t="s">
        <v>57</v>
      </c>
      <c r="V19" s="21" t="s">
        <v>68</v>
      </c>
      <c r="W19" s="19">
        <f t="shared" si="0"/>
        <v>0</v>
      </c>
      <c r="X19" s="22">
        <f t="shared" ca="1" si="1"/>
        <v>46141</v>
      </c>
    </row>
    <row r="20" spans="1:24" ht="39.950000000000003" customHeight="1">
      <c r="A20" s="24">
        <v>4</v>
      </c>
      <c r="B20" s="25" t="s">
        <v>192</v>
      </c>
      <c r="C20" s="24">
        <v>7</v>
      </c>
      <c r="D20" s="24" t="s">
        <v>193</v>
      </c>
      <c r="E20" s="24">
        <v>16</v>
      </c>
      <c r="F20" s="24" t="s">
        <v>194</v>
      </c>
      <c r="G20" s="24" t="s">
        <v>195</v>
      </c>
      <c r="H20" s="25" t="s">
        <v>196</v>
      </c>
      <c r="I20" s="24">
        <v>0.8</v>
      </c>
      <c r="J20" s="24"/>
      <c r="K20" s="24"/>
      <c r="L20" s="24"/>
      <c r="M20" s="24" t="s">
        <v>37</v>
      </c>
      <c r="N20" s="25" t="s">
        <v>197</v>
      </c>
      <c r="O20" s="25" t="s">
        <v>198</v>
      </c>
      <c r="P20" s="25" t="s">
        <v>199</v>
      </c>
      <c r="Q20" s="24" t="s">
        <v>200</v>
      </c>
      <c r="R20" s="25" t="s">
        <v>201</v>
      </c>
      <c r="S20" s="25" t="s">
        <v>202</v>
      </c>
      <c r="T20" s="25" t="s">
        <v>203</v>
      </c>
      <c r="U20" s="24" t="s">
        <v>57</v>
      </c>
      <c r="V20" s="24" t="s">
        <v>46</v>
      </c>
      <c r="W20" s="24">
        <f t="shared" si="0"/>
        <v>1</v>
      </c>
      <c r="X20" s="26">
        <f t="shared" ca="1" si="1"/>
        <v>46141</v>
      </c>
    </row>
    <row r="21" spans="1:24" ht="39.950000000000003" customHeight="1">
      <c r="A21" s="24">
        <v>4</v>
      </c>
      <c r="B21" s="25" t="s">
        <v>192</v>
      </c>
      <c r="C21" s="24">
        <v>7</v>
      </c>
      <c r="D21" s="24" t="s">
        <v>193</v>
      </c>
      <c r="E21" s="24">
        <v>17</v>
      </c>
      <c r="F21" s="24" t="s">
        <v>194</v>
      </c>
      <c r="G21" s="24" t="s">
        <v>204</v>
      </c>
      <c r="H21" s="25" t="s">
        <v>205</v>
      </c>
      <c r="I21" s="24" t="s">
        <v>206</v>
      </c>
      <c r="J21" s="24"/>
      <c r="K21" s="24"/>
      <c r="L21" s="24"/>
      <c r="M21" s="24" t="s">
        <v>74</v>
      </c>
      <c r="N21" s="25" t="s">
        <v>207</v>
      </c>
      <c r="O21" s="25" t="s">
        <v>208</v>
      </c>
      <c r="P21" s="25" t="s">
        <v>209</v>
      </c>
      <c r="Q21" s="24" t="s">
        <v>210</v>
      </c>
      <c r="R21" s="25" t="s">
        <v>211</v>
      </c>
      <c r="S21" s="25" t="s">
        <v>212</v>
      </c>
      <c r="T21" s="25" t="s">
        <v>44</v>
      </c>
      <c r="U21" s="24" t="s">
        <v>45</v>
      </c>
      <c r="V21" s="27" t="s">
        <v>68</v>
      </c>
      <c r="W21" s="24">
        <f t="shared" si="0"/>
        <v>0</v>
      </c>
      <c r="X21" s="26">
        <f t="shared" ca="1" si="1"/>
        <v>46141</v>
      </c>
    </row>
    <row r="22" spans="1:24" ht="39.950000000000003" customHeight="1">
      <c r="A22" s="24">
        <v>4</v>
      </c>
      <c r="B22" s="25" t="s">
        <v>192</v>
      </c>
      <c r="C22" s="24">
        <v>7</v>
      </c>
      <c r="D22" s="24" t="s">
        <v>193</v>
      </c>
      <c r="E22" s="24">
        <v>18</v>
      </c>
      <c r="F22" s="24" t="s">
        <v>194</v>
      </c>
      <c r="G22" s="24" t="s">
        <v>213</v>
      </c>
      <c r="H22" s="25" t="s">
        <v>214</v>
      </c>
      <c r="I22" s="24" t="s">
        <v>215</v>
      </c>
      <c r="J22" s="24"/>
      <c r="K22" s="24"/>
      <c r="L22" s="24"/>
      <c r="M22" s="24" t="s">
        <v>37</v>
      </c>
      <c r="N22" s="25" t="s">
        <v>216</v>
      </c>
      <c r="O22" s="25" t="s">
        <v>217</v>
      </c>
      <c r="P22" s="25" t="s">
        <v>218</v>
      </c>
      <c r="Q22" s="24" t="s">
        <v>219</v>
      </c>
      <c r="R22" s="25" t="s">
        <v>181</v>
      </c>
      <c r="S22" s="25" t="s">
        <v>220</v>
      </c>
      <c r="T22" s="25" t="s">
        <v>44</v>
      </c>
      <c r="U22" s="24" t="s">
        <v>57</v>
      </c>
      <c r="V22" s="27" t="s">
        <v>68</v>
      </c>
      <c r="W22" s="24">
        <f t="shared" si="0"/>
        <v>0</v>
      </c>
      <c r="X22" s="26">
        <f t="shared" ca="1" si="1"/>
        <v>46141</v>
      </c>
    </row>
    <row r="23" spans="1:24" ht="39.950000000000003" customHeight="1">
      <c r="A23" s="24">
        <v>4</v>
      </c>
      <c r="B23" s="25" t="s">
        <v>192</v>
      </c>
      <c r="C23" s="24">
        <v>8</v>
      </c>
      <c r="D23" s="24" t="s">
        <v>221</v>
      </c>
      <c r="E23" s="24">
        <v>19</v>
      </c>
      <c r="F23" s="24" t="s">
        <v>222</v>
      </c>
      <c r="G23" s="24" t="s">
        <v>223</v>
      </c>
      <c r="H23" s="25" t="s">
        <v>224</v>
      </c>
      <c r="I23" s="24" t="s">
        <v>225</v>
      </c>
      <c r="J23" s="24"/>
      <c r="K23" s="24"/>
      <c r="L23" s="24"/>
      <c r="M23" s="24" t="s">
        <v>37</v>
      </c>
      <c r="N23" s="25" t="s">
        <v>226</v>
      </c>
      <c r="O23" s="25" t="s">
        <v>227</v>
      </c>
      <c r="P23" s="25" t="s">
        <v>228</v>
      </c>
      <c r="Q23" s="24" t="s">
        <v>229</v>
      </c>
      <c r="R23" s="25" t="s">
        <v>230</v>
      </c>
      <c r="S23" s="25" t="s">
        <v>231</v>
      </c>
      <c r="T23" s="25" t="s">
        <v>44</v>
      </c>
      <c r="U23" s="24" t="s">
        <v>45</v>
      </c>
      <c r="V23" s="27" t="s">
        <v>68</v>
      </c>
      <c r="W23" s="24">
        <f t="shared" si="0"/>
        <v>0</v>
      </c>
      <c r="X23" s="26">
        <f t="shared" ca="1" si="1"/>
        <v>46141</v>
      </c>
    </row>
    <row r="24" spans="1:24" ht="39.950000000000003" customHeight="1">
      <c r="A24" s="24">
        <v>4</v>
      </c>
      <c r="B24" s="25" t="s">
        <v>192</v>
      </c>
      <c r="C24" s="24">
        <v>8</v>
      </c>
      <c r="D24" s="24" t="s">
        <v>221</v>
      </c>
      <c r="E24" s="24">
        <v>20</v>
      </c>
      <c r="F24" s="24" t="s">
        <v>222</v>
      </c>
      <c r="G24" s="24" t="s">
        <v>232</v>
      </c>
      <c r="H24" s="25" t="s">
        <v>233</v>
      </c>
      <c r="I24" s="24" t="s">
        <v>234</v>
      </c>
      <c r="J24" s="24"/>
      <c r="K24" s="24"/>
      <c r="L24" s="24"/>
      <c r="M24" s="24" t="s">
        <v>37</v>
      </c>
      <c r="N24" s="25" t="s">
        <v>235</v>
      </c>
      <c r="O24" s="25" t="s">
        <v>236</v>
      </c>
      <c r="P24" s="25" t="s">
        <v>237</v>
      </c>
      <c r="Q24" s="24" t="s">
        <v>238</v>
      </c>
      <c r="R24" s="25" t="s">
        <v>239</v>
      </c>
      <c r="S24" s="25" t="s">
        <v>240</v>
      </c>
      <c r="T24" s="25" t="s">
        <v>44</v>
      </c>
      <c r="U24" s="24" t="s">
        <v>57</v>
      </c>
      <c r="V24" s="27" t="s">
        <v>68</v>
      </c>
      <c r="W24" s="24">
        <f t="shared" si="0"/>
        <v>0</v>
      </c>
      <c r="X24" s="26">
        <f t="shared" ca="1" si="1"/>
        <v>46141</v>
      </c>
    </row>
    <row r="25" spans="1:24" ht="39.950000000000003" customHeight="1">
      <c r="A25" s="24">
        <v>4</v>
      </c>
      <c r="B25" s="25" t="s">
        <v>192</v>
      </c>
      <c r="C25" s="24">
        <v>8</v>
      </c>
      <c r="D25" s="24" t="s">
        <v>221</v>
      </c>
      <c r="E25" s="24">
        <v>21</v>
      </c>
      <c r="F25" s="24" t="s">
        <v>222</v>
      </c>
      <c r="G25" s="24" t="s">
        <v>241</v>
      </c>
      <c r="H25" s="25" t="s">
        <v>242</v>
      </c>
      <c r="I25" s="24">
        <v>8</v>
      </c>
      <c r="J25" s="24"/>
      <c r="K25" s="24"/>
      <c r="L25" s="24"/>
      <c r="M25" s="24" t="s">
        <v>37</v>
      </c>
      <c r="N25" s="25" t="s">
        <v>243</v>
      </c>
      <c r="O25" s="25" t="s">
        <v>244</v>
      </c>
      <c r="P25" s="25" t="s">
        <v>245</v>
      </c>
      <c r="Q25" s="24" t="s">
        <v>246</v>
      </c>
      <c r="R25" s="25" t="s">
        <v>247</v>
      </c>
      <c r="S25" s="25" t="s">
        <v>248</v>
      </c>
      <c r="T25" s="25" t="s">
        <v>44</v>
      </c>
      <c r="U25" s="24" t="s">
        <v>57</v>
      </c>
      <c r="V25" s="27" t="s">
        <v>68</v>
      </c>
      <c r="W25" s="24">
        <f t="shared" si="0"/>
        <v>0</v>
      </c>
      <c r="X25" s="26">
        <f t="shared" ca="1" si="1"/>
        <v>46141</v>
      </c>
    </row>
  </sheetData>
  <mergeCells count="2">
    <mergeCell ref="A2:X2"/>
    <mergeCell ref="A1:X1"/>
  </mergeCells>
  <conditionalFormatting sqref="V5:V25">
    <cfRule type="cellIs" dxfId="28" priority="1" operator="equal">
      <formula>"V"</formula>
    </cfRule>
    <cfRule type="cellIs" dxfId="27" priority="2" operator="equal">
      <formula>"A"</formula>
    </cfRule>
    <cfRule type="cellIs" dxfId="26" priority="3" operator="equal">
      <formula>"R"</formula>
    </cfRule>
  </conditionalFormatting>
  <dataValidations count="2">
    <dataValidation type="list" allowBlank="1" sqref="U5 U6 U7 U8 U9 U10 U11 U12 U13 U14 U15 U16 U17 U18 U19 U20 U21 U22 U23 U24 U25" xr:uid="{00000000-0002-0000-0100-000000000000}">
      <formula1>"S,N"</formula1>
    </dataValidation>
    <dataValidation type="list" allowBlank="1" sqref="V5 V6 V7 V8 V9 V10 V11 V12 V13 V14 V15 V16 V17 V18 V19 V20 V21 V22 V23 V24 V25" xr:uid="{00000000-0002-0000-0100-000001000000}">
      <formula1>"V,A,R"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showGridLines="0" workbookViewId="0">
      <pane ySplit="4" topLeftCell="A5" activePane="bottomLeft" state="frozen"/>
      <selection pane="bottomLeft" activeCell="H10" sqref="H10"/>
    </sheetView>
  </sheetViews>
  <sheetFormatPr defaultColWidth="8.85546875" defaultRowHeight="15"/>
  <cols>
    <col min="1" max="1" width="10" customWidth="1"/>
    <col min="2" max="2" width="34" customWidth="1"/>
    <col min="3" max="3" width="12" customWidth="1"/>
    <col min="4" max="4" width="44" customWidth="1"/>
    <col min="5" max="5" width="8" customWidth="1"/>
    <col min="6" max="8" width="6" customWidth="1"/>
    <col min="9" max="10" width="10" customWidth="1"/>
    <col min="11" max="11" width="14" customWidth="1"/>
    <col min="12" max="12" width="18" customWidth="1"/>
    <col min="13" max="13" width="16" customWidth="1"/>
    <col min="14" max="14" width="22" customWidth="1"/>
    <col min="15" max="15" width="44" customWidth="1"/>
    <col min="16" max="16" width="34" customWidth="1"/>
  </cols>
  <sheetData>
    <row r="1" spans="1:16" ht="21.95" customHeight="1">
      <c r="A1" s="40" t="s">
        <v>249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 customHeight="1">
      <c r="A2" s="37" t="s">
        <v>250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4" spans="1:16" ht="49.5" customHeight="1">
      <c r="A4" s="1" t="s">
        <v>251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  <c r="G4" s="1" t="s">
        <v>257</v>
      </c>
      <c r="H4" s="1" t="s">
        <v>258</v>
      </c>
      <c r="I4" s="1" t="s">
        <v>259</v>
      </c>
      <c r="J4" s="1" t="s">
        <v>260</v>
      </c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</row>
    <row r="5" spans="1:16" ht="36" customHeight="1">
      <c r="A5" s="2">
        <v>1</v>
      </c>
      <c r="B5" s="3" t="s">
        <v>32</v>
      </c>
      <c r="C5" s="2">
        <v>1</v>
      </c>
      <c r="D5" s="3" t="s">
        <v>34</v>
      </c>
      <c r="E5" s="2">
        <f>COUNTIF(MASTER_2026_KRs!$C:$C,C5)</f>
        <v>3</v>
      </c>
      <c r="F5" s="2">
        <f>COUNTIFS(MASTER_2026_KRs!$C:$C,C5,MASTER_2026_KRs!$V:$V,"V")</f>
        <v>1</v>
      </c>
      <c r="G5" s="2">
        <f>COUNTIFS(MASTER_2026_KRs!$C:$C,C5,MASTER_2026_KRs!$V:$V,"A")</f>
        <v>1</v>
      </c>
      <c r="H5" s="2">
        <f>COUNTIFS(MASTER_2026_KRs!$C:$C,C5,MASTER_2026_KRs!$V:$V,"R")</f>
        <v>1</v>
      </c>
      <c r="I5" s="2">
        <f>COUNTIFS(MASTER_2026_KRs!$C:$C,C5,MASTER_2026_KRs!$V:$V,"R",MASTER_2026_KRs!$U:$U,"S")</f>
        <v>0</v>
      </c>
      <c r="J5" s="2">
        <f>COUNTIFS(MASTER_2026_KRs!$C:$C,C5,MASTER_2026_KRs!$V:$V,"A",MASTER_2026_KRs!$U:$U,"S")</f>
        <v>1</v>
      </c>
      <c r="K5" s="7" t="str">
        <f t="shared" ref="K5:K12" si="0">IF(I5&gt;0,"R",IF(J5&gt;0,"A",IF(E5=1,IF(H5=1,"R",IF(G5=1,"A","V")),IF(E5=2,IF(H5&gt;=1,IF(G5+H5&gt;=2,"R","A"),IF(G5=2,"R",IF(G5=1,"A","V"))),IF(E5=3,IF(H5&gt;=1,IF(G5+H5&gt;=2,"R","A"),IF(G5&gt;=2,"A","V")),"")))))</f>
        <v>A</v>
      </c>
      <c r="L5" s="2">
        <f t="shared" ref="L5:L12" si="1">IF(E5="","",ROUND(100-((G5+2*H5)/(2*E5))*100,0))</f>
        <v>50</v>
      </c>
      <c r="M5" s="2" t="s">
        <v>267</v>
      </c>
      <c r="N5" s="2" t="s">
        <v>268</v>
      </c>
      <c r="O5" s="3" t="s">
        <v>269</v>
      </c>
      <c r="P5" s="3" t="s">
        <v>270</v>
      </c>
    </row>
    <row r="6" spans="1:16" ht="36" customHeight="1">
      <c r="A6" s="2">
        <v>1</v>
      </c>
      <c r="B6" s="3" t="s">
        <v>32</v>
      </c>
      <c r="C6" s="2">
        <v>2</v>
      </c>
      <c r="D6" s="3" t="s">
        <v>70</v>
      </c>
      <c r="E6" s="2">
        <f>COUNTIF(MASTER_2026_KRs!$C:$C,C6)</f>
        <v>3</v>
      </c>
      <c r="F6" s="2">
        <f>COUNTIFS(MASTER_2026_KRs!$C:$C,C6,MASTER_2026_KRs!$V:$V,"V")</f>
        <v>1</v>
      </c>
      <c r="G6" s="2">
        <f>COUNTIFS(MASTER_2026_KRs!$C:$C,C6,MASTER_2026_KRs!$V:$V,"A")</f>
        <v>1</v>
      </c>
      <c r="H6" s="2">
        <f>COUNTIFS(MASTER_2026_KRs!$C:$C,C6,MASTER_2026_KRs!$V:$V,"R")</f>
        <v>1</v>
      </c>
      <c r="I6" s="2">
        <f>COUNTIFS(MASTER_2026_KRs!$C:$C,C6,MASTER_2026_KRs!$V:$V,"R",MASTER_2026_KRs!$U:$U,"S")</f>
        <v>1</v>
      </c>
      <c r="J6" s="2">
        <f>COUNTIFS(MASTER_2026_KRs!$C:$C,C6,MASTER_2026_KRs!$V:$V,"A",MASTER_2026_KRs!$U:$U,"S")</f>
        <v>0</v>
      </c>
      <c r="K6" s="7" t="str">
        <f t="shared" si="0"/>
        <v>R</v>
      </c>
      <c r="L6" s="2">
        <f t="shared" si="1"/>
        <v>50</v>
      </c>
      <c r="M6" s="2" t="s">
        <v>267</v>
      </c>
      <c r="N6" s="2" t="s">
        <v>268</v>
      </c>
      <c r="O6" s="3" t="s">
        <v>269</v>
      </c>
      <c r="P6" s="3" t="s">
        <v>271</v>
      </c>
    </row>
    <row r="7" spans="1:16" ht="36" customHeight="1">
      <c r="A7" s="2">
        <v>2</v>
      </c>
      <c r="B7" s="3" t="s">
        <v>100</v>
      </c>
      <c r="C7" s="2">
        <v>3</v>
      </c>
      <c r="D7" s="3" t="s">
        <v>102</v>
      </c>
      <c r="E7" s="2">
        <f>COUNTIF(MASTER_2026_KRs!$C:$C,C7)</f>
        <v>3</v>
      </c>
      <c r="F7" s="2">
        <f>COUNTIFS(MASTER_2026_KRs!$C:$C,C7,MASTER_2026_KRs!$V:$V,"V")</f>
        <v>1</v>
      </c>
      <c r="G7" s="2">
        <f>COUNTIFS(MASTER_2026_KRs!$C:$C,C7,MASTER_2026_KRs!$V:$V,"A")</f>
        <v>2</v>
      </c>
      <c r="H7" s="2">
        <f>COUNTIFS(MASTER_2026_KRs!$C:$C,C7,MASTER_2026_KRs!$V:$V,"R")</f>
        <v>0</v>
      </c>
      <c r="I7" s="2">
        <f>COUNTIFS(MASTER_2026_KRs!$C:$C,C7,MASTER_2026_KRs!$V:$V,"R",MASTER_2026_KRs!$U:$U,"S")</f>
        <v>0</v>
      </c>
      <c r="J7" s="2">
        <f>COUNTIFS(MASTER_2026_KRs!$C:$C,C7,MASTER_2026_KRs!$V:$V,"A",MASTER_2026_KRs!$U:$U,"S")</f>
        <v>1</v>
      </c>
      <c r="K7" s="8" t="str">
        <f t="shared" si="0"/>
        <v>A</v>
      </c>
      <c r="L7" s="2">
        <f t="shared" si="1"/>
        <v>67</v>
      </c>
      <c r="M7" s="2" t="s">
        <v>272</v>
      </c>
      <c r="N7" s="2" t="s">
        <v>273</v>
      </c>
      <c r="O7" s="3" t="s">
        <v>274</v>
      </c>
      <c r="P7" s="3" t="s">
        <v>275</v>
      </c>
    </row>
    <row r="8" spans="1:16" ht="36" customHeight="1">
      <c r="A8" s="2">
        <v>2</v>
      </c>
      <c r="B8" s="3" t="s">
        <v>100</v>
      </c>
      <c r="C8" s="2">
        <v>4</v>
      </c>
      <c r="D8" s="3" t="s">
        <v>131</v>
      </c>
      <c r="E8" s="2">
        <f>COUNTIF(MASTER_2026_KRs!$C:$C,C8)</f>
        <v>1</v>
      </c>
      <c r="F8" s="2">
        <f>COUNTIFS(MASTER_2026_KRs!$C:$C,C8,MASTER_2026_KRs!$V:$V,"V")</f>
        <v>1</v>
      </c>
      <c r="G8" s="2">
        <f>COUNTIFS(MASTER_2026_KRs!$C:$C,C8,MASTER_2026_KRs!$V:$V,"A")</f>
        <v>0</v>
      </c>
      <c r="H8" s="2">
        <f>COUNTIFS(MASTER_2026_KRs!$C:$C,C8,MASTER_2026_KRs!$V:$V,"R")</f>
        <v>0</v>
      </c>
      <c r="I8" s="2">
        <f>COUNTIFS(MASTER_2026_KRs!$C:$C,C8,MASTER_2026_KRs!$V:$V,"R",MASTER_2026_KRs!$U:$U,"S")</f>
        <v>0</v>
      </c>
      <c r="J8" s="2">
        <f>COUNTIFS(MASTER_2026_KRs!$C:$C,C8,MASTER_2026_KRs!$V:$V,"A",MASTER_2026_KRs!$U:$U,"S")</f>
        <v>0</v>
      </c>
      <c r="K8" s="9" t="str">
        <f t="shared" si="0"/>
        <v>V</v>
      </c>
      <c r="L8" s="2">
        <f t="shared" si="1"/>
        <v>100</v>
      </c>
      <c r="M8" s="2" t="s">
        <v>276</v>
      </c>
      <c r="N8" s="2" t="s">
        <v>277</v>
      </c>
      <c r="O8" s="3" t="s">
        <v>278</v>
      </c>
      <c r="P8" s="3"/>
    </row>
    <row r="9" spans="1:16" ht="36" customHeight="1">
      <c r="A9" s="2">
        <v>3</v>
      </c>
      <c r="B9" s="3" t="s">
        <v>141</v>
      </c>
      <c r="C9" s="2">
        <v>5</v>
      </c>
      <c r="D9" s="3" t="s">
        <v>143</v>
      </c>
      <c r="E9" s="2">
        <f>COUNTIF(MASTER_2026_KRs!$C:$C,C9)</f>
        <v>3</v>
      </c>
      <c r="F9" s="2">
        <f>COUNTIFS(MASTER_2026_KRs!$C:$C,C9,MASTER_2026_KRs!$V:$V,"V")</f>
        <v>3</v>
      </c>
      <c r="G9" s="2">
        <f>COUNTIFS(MASTER_2026_KRs!$C:$C,C9,MASTER_2026_KRs!$V:$V,"A")</f>
        <v>0</v>
      </c>
      <c r="H9" s="2">
        <f>COUNTIFS(MASTER_2026_KRs!$C:$C,C9,MASTER_2026_KRs!$V:$V,"R")</f>
        <v>0</v>
      </c>
      <c r="I9" s="2">
        <f>COUNTIFS(MASTER_2026_KRs!$C:$C,C9,MASTER_2026_KRs!$V:$V,"R",MASTER_2026_KRs!$U:$U,"S")</f>
        <v>0</v>
      </c>
      <c r="J9" s="2">
        <f>COUNTIFS(MASTER_2026_KRs!$C:$C,C9,MASTER_2026_KRs!$V:$V,"A",MASTER_2026_KRs!$U:$U,"S")</f>
        <v>0</v>
      </c>
      <c r="K9" s="9" t="str">
        <f t="shared" si="0"/>
        <v>V</v>
      </c>
      <c r="L9" s="2">
        <f t="shared" si="1"/>
        <v>100</v>
      </c>
      <c r="M9" s="2" t="s">
        <v>272</v>
      </c>
      <c r="N9" s="2" t="s">
        <v>277</v>
      </c>
      <c r="O9" s="3" t="s">
        <v>278</v>
      </c>
      <c r="P9" s="3"/>
    </row>
    <row r="10" spans="1:16" ht="36" customHeight="1">
      <c r="A10" s="2">
        <v>3</v>
      </c>
      <c r="B10" s="3" t="s">
        <v>141</v>
      </c>
      <c r="C10" s="2">
        <v>6</v>
      </c>
      <c r="D10" s="3" t="s">
        <v>174</v>
      </c>
      <c r="E10" s="2">
        <f>COUNTIF(MASTER_2026_KRs!$C:$C,C10)</f>
        <v>2</v>
      </c>
      <c r="F10" s="2">
        <f>COUNTIFS(MASTER_2026_KRs!$C:$C,C10,MASTER_2026_KRs!$V:$V,"V")</f>
        <v>2</v>
      </c>
      <c r="G10" s="2">
        <f>COUNTIFS(MASTER_2026_KRs!$C:$C,C10,MASTER_2026_KRs!$V:$V,"A")</f>
        <v>0</v>
      </c>
      <c r="H10" s="2">
        <f>COUNTIFS(MASTER_2026_KRs!$C:$C,C10,MASTER_2026_KRs!$V:$V,"R")</f>
        <v>0</v>
      </c>
      <c r="I10" s="2">
        <f>COUNTIFS(MASTER_2026_KRs!$C:$C,C10,MASTER_2026_KRs!$V:$V,"R",MASTER_2026_KRs!$U:$U,"S")</f>
        <v>0</v>
      </c>
      <c r="J10" s="2">
        <f>COUNTIFS(MASTER_2026_KRs!$C:$C,C10,MASTER_2026_KRs!$V:$V,"A",MASTER_2026_KRs!$U:$U,"S")</f>
        <v>0</v>
      </c>
      <c r="K10" s="9" t="str">
        <f t="shared" si="0"/>
        <v>V</v>
      </c>
      <c r="L10" s="2">
        <f t="shared" si="1"/>
        <v>100</v>
      </c>
      <c r="M10" s="2" t="s">
        <v>267</v>
      </c>
      <c r="N10" s="2" t="s">
        <v>277</v>
      </c>
      <c r="O10" s="3" t="s">
        <v>278</v>
      </c>
      <c r="P10" s="3"/>
    </row>
    <row r="11" spans="1:16" ht="36" customHeight="1">
      <c r="A11" s="2">
        <v>4</v>
      </c>
      <c r="B11" s="3" t="s">
        <v>192</v>
      </c>
      <c r="C11" s="2">
        <v>7</v>
      </c>
      <c r="D11" s="3" t="s">
        <v>194</v>
      </c>
      <c r="E11" s="2">
        <f>COUNTIF(MASTER_2026_KRs!$C:$C,C11)</f>
        <v>3</v>
      </c>
      <c r="F11" s="2">
        <f>COUNTIFS(MASTER_2026_KRs!$C:$C,C11,MASTER_2026_KRs!$V:$V,"V")</f>
        <v>2</v>
      </c>
      <c r="G11" s="2">
        <f>COUNTIFS(MASTER_2026_KRs!$C:$C,C11,MASTER_2026_KRs!$V:$V,"A")</f>
        <v>1</v>
      </c>
      <c r="H11" s="2">
        <f>COUNTIFS(MASTER_2026_KRs!$C:$C,C11,MASTER_2026_KRs!$V:$V,"R")</f>
        <v>0</v>
      </c>
      <c r="I11" s="2">
        <f>COUNTIFS(MASTER_2026_KRs!$C:$C,C11,MASTER_2026_KRs!$V:$V,"R",MASTER_2026_KRs!$U:$U,"S")</f>
        <v>0</v>
      </c>
      <c r="J11" s="2">
        <f>COUNTIFS(MASTER_2026_KRs!$C:$C,C11,MASTER_2026_KRs!$V:$V,"A",MASTER_2026_KRs!$U:$U,"S")</f>
        <v>0</v>
      </c>
      <c r="K11" s="9" t="str">
        <f t="shared" si="0"/>
        <v>V</v>
      </c>
      <c r="L11" s="2">
        <f t="shared" si="1"/>
        <v>83</v>
      </c>
      <c r="M11" s="2" t="s">
        <v>276</v>
      </c>
      <c r="N11" s="2" t="s">
        <v>277</v>
      </c>
      <c r="O11" s="3" t="s">
        <v>278</v>
      </c>
      <c r="P11" s="3"/>
    </row>
    <row r="12" spans="1:16" ht="36" customHeight="1">
      <c r="A12" s="2">
        <v>4</v>
      </c>
      <c r="B12" s="3" t="s">
        <v>192</v>
      </c>
      <c r="C12" s="2">
        <v>8</v>
      </c>
      <c r="D12" s="3" t="s">
        <v>222</v>
      </c>
      <c r="E12" s="2">
        <f>COUNTIF(MASTER_2026_KRs!$C:$C,C12)</f>
        <v>3</v>
      </c>
      <c r="F12" s="2">
        <f>COUNTIFS(MASTER_2026_KRs!$C:$C,C12,MASTER_2026_KRs!$V:$V,"V")</f>
        <v>3</v>
      </c>
      <c r="G12" s="2">
        <f>COUNTIFS(MASTER_2026_KRs!$C:$C,C12,MASTER_2026_KRs!$V:$V,"A")</f>
        <v>0</v>
      </c>
      <c r="H12" s="2">
        <f>COUNTIFS(MASTER_2026_KRs!$C:$C,C12,MASTER_2026_KRs!$V:$V,"R")</f>
        <v>0</v>
      </c>
      <c r="I12" s="2">
        <f>COUNTIFS(MASTER_2026_KRs!$C:$C,C12,MASTER_2026_KRs!$V:$V,"R",MASTER_2026_KRs!$U:$U,"S")</f>
        <v>0</v>
      </c>
      <c r="J12" s="2">
        <f>COUNTIFS(MASTER_2026_KRs!$C:$C,C12,MASTER_2026_KRs!$V:$V,"A",MASTER_2026_KRs!$U:$U,"S")</f>
        <v>0</v>
      </c>
      <c r="K12" s="9" t="str">
        <f t="shared" si="0"/>
        <v>V</v>
      </c>
      <c r="L12" s="2">
        <f t="shared" si="1"/>
        <v>100</v>
      </c>
      <c r="M12" s="2" t="s">
        <v>272</v>
      </c>
      <c r="N12" s="2" t="s">
        <v>277</v>
      </c>
      <c r="O12" s="3" t="s">
        <v>278</v>
      </c>
      <c r="P12" s="3"/>
    </row>
  </sheetData>
  <mergeCells count="2">
    <mergeCell ref="A1:P1"/>
    <mergeCell ref="A2:P2"/>
  </mergeCells>
  <conditionalFormatting sqref="K5:K12">
    <cfRule type="cellIs" dxfId="25" priority="1" operator="equal">
      <formula>"V"</formula>
    </cfRule>
    <cfRule type="cellIs" dxfId="24" priority="2" operator="equal">
      <formula>"A"</formula>
    </cfRule>
    <cfRule type="cellIs" dxfId="23" priority="3" operator="equal">
      <formula>"R"</formula>
    </cfRule>
  </conditionalFormatting>
  <conditionalFormatting sqref="N5:N12">
    <cfRule type="cellIs" dxfId="22" priority="4" operator="equal">
      <formula>"Alta"</formula>
    </cfRule>
    <cfRule type="cellIs" dxfId="21" priority="5" operator="equal">
      <formula>"Media"</formula>
    </cfRule>
    <cfRule type="cellIs" dxfId="20" priority="6" operator="equal">
      <formula>"Baja"</formula>
    </cfRule>
  </conditionalFormatting>
  <dataValidations count="2">
    <dataValidation type="list" allowBlank="1" sqref="M5:M12" xr:uid="{00000000-0002-0000-0200-000000000000}">
      <formula1>"↑,→,↓"</formula1>
    </dataValidation>
    <dataValidation type="list" allowBlank="1" sqref="N5:N12" xr:uid="{00000000-0002-0000-0200-000001000000}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showGridLines="0" workbookViewId="0">
      <pane ySplit="4" topLeftCell="G15" activePane="bottomLeft" state="frozen"/>
      <selection pane="bottomLeft" activeCell="F4" sqref="F4:F13"/>
    </sheetView>
  </sheetViews>
  <sheetFormatPr defaultColWidth="8.85546875" defaultRowHeight="15"/>
  <cols>
    <col min="1" max="1" width="10" customWidth="1"/>
    <col min="2" max="2" width="12" customWidth="1"/>
    <col min="3" max="3" width="46" customWidth="1"/>
    <col min="4" max="4" width="34" customWidth="1"/>
    <col min="5" max="5" width="28" customWidth="1"/>
    <col min="6" max="6" width="20" customWidth="1"/>
    <col min="7" max="7" width="32" customWidth="1"/>
    <col min="8" max="8" width="12" customWidth="1"/>
    <col min="9" max="10" width="18" customWidth="1"/>
    <col min="11" max="11" width="20" customWidth="1"/>
    <col min="12" max="12" width="34" customWidth="1"/>
    <col min="13" max="13" width="28" customWidth="1"/>
  </cols>
  <sheetData>
    <row r="1" spans="1:13" ht="21.95" customHeight="1">
      <c r="A1" s="40" t="s">
        <v>279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customHeight="1">
      <c r="A2" s="37" t="s">
        <v>280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4" spans="1:13" ht="37.5" customHeight="1">
      <c r="A4" s="1" t="s">
        <v>252</v>
      </c>
      <c r="B4" s="1" t="s">
        <v>281</v>
      </c>
      <c r="C4" s="1" t="s">
        <v>282</v>
      </c>
      <c r="D4" s="1" t="s">
        <v>283</v>
      </c>
      <c r="E4" s="1" t="s">
        <v>284</v>
      </c>
      <c r="F4" s="1" t="s">
        <v>285</v>
      </c>
      <c r="G4" s="1" t="s">
        <v>286</v>
      </c>
      <c r="H4" s="1" t="s">
        <v>287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292</v>
      </c>
    </row>
    <row r="5" spans="1:13" ht="39.950000000000003" customHeight="1">
      <c r="A5" s="2">
        <v>1</v>
      </c>
      <c r="B5" s="2" t="s">
        <v>293</v>
      </c>
      <c r="C5" s="3" t="s">
        <v>294</v>
      </c>
      <c r="D5" s="3" t="s">
        <v>295</v>
      </c>
      <c r="E5" s="3" t="s">
        <v>296</v>
      </c>
      <c r="F5" s="2" t="s">
        <v>297</v>
      </c>
      <c r="G5" s="3"/>
      <c r="H5" s="2" t="s">
        <v>298</v>
      </c>
      <c r="I5" s="2">
        <v>1</v>
      </c>
      <c r="J5" s="2" t="s">
        <v>58</v>
      </c>
      <c r="K5" s="4">
        <v>46081</v>
      </c>
      <c r="L5" s="3" t="s">
        <v>299</v>
      </c>
      <c r="M5" s="3" t="s">
        <v>300</v>
      </c>
    </row>
    <row r="6" spans="1:13" ht="54" customHeight="1">
      <c r="A6" s="2">
        <v>1</v>
      </c>
      <c r="B6" s="2" t="s">
        <v>301</v>
      </c>
      <c r="C6" s="3" t="s">
        <v>302</v>
      </c>
      <c r="D6" s="3" t="s">
        <v>303</v>
      </c>
      <c r="E6" s="3" t="s">
        <v>304</v>
      </c>
      <c r="F6" s="2" t="s">
        <v>297</v>
      </c>
      <c r="G6" s="3"/>
      <c r="H6" s="2" t="s">
        <v>298</v>
      </c>
      <c r="I6" s="2">
        <v>2</v>
      </c>
      <c r="J6" s="2" t="s">
        <v>46</v>
      </c>
      <c r="K6" s="4">
        <v>46099</v>
      </c>
      <c r="L6" s="3" t="s">
        <v>305</v>
      </c>
      <c r="M6" s="3" t="s">
        <v>306</v>
      </c>
    </row>
    <row r="7" spans="1:13" ht="39.950000000000003" customHeight="1">
      <c r="A7" s="2">
        <v>1</v>
      </c>
      <c r="B7" s="2" t="s">
        <v>307</v>
      </c>
      <c r="C7" s="3" t="s">
        <v>308</v>
      </c>
      <c r="D7" s="3" t="s">
        <v>309</v>
      </c>
      <c r="E7" s="3" t="s">
        <v>310</v>
      </c>
      <c r="F7" s="2" t="s">
        <v>297</v>
      </c>
      <c r="G7" s="3"/>
      <c r="H7" s="2" t="s">
        <v>298</v>
      </c>
      <c r="I7" s="2">
        <v>3</v>
      </c>
      <c r="J7" s="2" t="s">
        <v>68</v>
      </c>
      <c r="K7" s="4">
        <v>46120</v>
      </c>
      <c r="L7" s="3" t="s">
        <v>278</v>
      </c>
      <c r="M7" s="3"/>
    </row>
    <row r="8" spans="1:13" ht="51.75" customHeight="1">
      <c r="A8" s="2">
        <v>2</v>
      </c>
      <c r="B8" s="2" t="s">
        <v>293</v>
      </c>
      <c r="C8" s="3" t="s">
        <v>311</v>
      </c>
      <c r="D8" s="3" t="s">
        <v>312</v>
      </c>
      <c r="E8" s="3" t="s">
        <v>313</v>
      </c>
      <c r="F8" s="2" t="s">
        <v>297</v>
      </c>
      <c r="G8" s="3"/>
      <c r="H8" s="2" t="s">
        <v>298</v>
      </c>
      <c r="I8" s="2">
        <v>4</v>
      </c>
      <c r="J8" s="2" t="s">
        <v>46</v>
      </c>
      <c r="K8" s="4">
        <v>46080</v>
      </c>
      <c r="L8" s="3" t="s">
        <v>314</v>
      </c>
      <c r="M8" s="3" t="s">
        <v>315</v>
      </c>
    </row>
    <row r="9" spans="1:13" ht="39.950000000000003" customHeight="1">
      <c r="A9" s="2">
        <v>2</v>
      </c>
      <c r="B9" s="2" t="s">
        <v>301</v>
      </c>
      <c r="C9" s="3" t="s">
        <v>316</v>
      </c>
      <c r="D9" s="3" t="s">
        <v>317</v>
      </c>
      <c r="E9" s="3" t="s">
        <v>318</v>
      </c>
      <c r="F9" s="2" t="s">
        <v>319</v>
      </c>
      <c r="G9" s="3"/>
      <c r="H9" s="2" t="s">
        <v>298</v>
      </c>
      <c r="I9" s="2">
        <v>5</v>
      </c>
      <c r="J9" s="2" t="s">
        <v>46</v>
      </c>
      <c r="K9" s="4">
        <v>46112</v>
      </c>
      <c r="L9" s="3" t="s">
        <v>320</v>
      </c>
      <c r="M9" s="3" t="s">
        <v>321</v>
      </c>
    </row>
    <row r="10" spans="1:13" ht="39.950000000000003" customHeight="1">
      <c r="A10" s="2">
        <v>2</v>
      </c>
      <c r="B10" s="2" t="s">
        <v>307</v>
      </c>
      <c r="C10" s="3" t="s">
        <v>322</v>
      </c>
      <c r="D10" s="3" t="s">
        <v>323</v>
      </c>
      <c r="E10" s="3" t="s">
        <v>324</v>
      </c>
      <c r="F10" s="2" t="s">
        <v>297</v>
      </c>
      <c r="G10" s="3"/>
      <c r="H10" s="2" t="s">
        <v>298</v>
      </c>
      <c r="I10" s="2">
        <v>6</v>
      </c>
      <c r="J10" s="2" t="s">
        <v>68</v>
      </c>
      <c r="K10" s="4"/>
      <c r="L10" s="3"/>
      <c r="M10" s="3"/>
    </row>
    <row r="11" spans="1:13" ht="39.950000000000003" customHeight="1">
      <c r="A11" s="2">
        <v>2</v>
      </c>
      <c r="B11" s="2" t="s">
        <v>325</v>
      </c>
      <c r="C11" s="3" t="s">
        <v>326</v>
      </c>
      <c r="D11" s="3" t="s">
        <v>327</v>
      </c>
      <c r="E11" s="3" t="s">
        <v>324</v>
      </c>
      <c r="F11" s="2" t="s">
        <v>297</v>
      </c>
      <c r="G11" s="3"/>
      <c r="H11" s="2" t="s">
        <v>298</v>
      </c>
      <c r="I11" s="2">
        <v>7</v>
      </c>
      <c r="J11" s="2" t="s">
        <v>68</v>
      </c>
      <c r="K11" s="4"/>
      <c r="L11" s="3"/>
      <c r="M11" s="3"/>
    </row>
    <row r="12" spans="1:13" ht="39.950000000000003" customHeight="1">
      <c r="A12" s="2">
        <v>2</v>
      </c>
      <c r="B12" s="2" t="s">
        <v>328</v>
      </c>
      <c r="C12" s="3" t="s">
        <v>329</v>
      </c>
      <c r="D12" s="3" t="s">
        <v>330</v>
      </c>
      <c r="E12" s="3" t="s">
        <v>324</v>
      </c>
      <c r="F12" s="2" t="s">
        <v>297</v>
      </c>
      <c r="G12" s="3"/>
      <c r="H12" s="2" t="s">
        <v>298</v>
      </c>
      <c r="I12" s="2">
        <v>8</v>
      </c>
      <c r="J12" s="2" t="s">
        <v>68</v>
      </c>
      <c r="K12" s="4"/>
      <c r="L12" s="3"/>
      <c r="M12" s="3"/>
    </row>
    <row r="13" spans="1:13" ht="39.950000000000003" customHeight="1">
      <c r="A13" s="2">
        <v>2</v>
      </c>
      <c r="B13" s="2" t="s">
        <v>331</v>
      </c>
      <c r="C13" s="3" t="s">
        <v>332</v>
      </c>
      <c r="D13" s="3" t="s">
        <v>317</v>
      </c>
      <c r="E13" s="3" t="s">
        <v>318</v>
      </c>
      <c r="F13" s="2" t="s">
        <v>319</v>
      </c>
      <c r="G13" s="3"/>
      <c r="H13" s="2" t="s">
        <v>298</v>
      </c>
      <c r="I13" s="2">
        <v>9</v>
      </c>
      <c r="J13" s="2" t="s">
        <v>68</v>
      </c>
      <c r="K13" s="4"/>
      <c r="L13" s="3"/>
      <c r="M13" s="3"/>
    </row>
    <row r="14" spans="1:13" ht="39.950000000000003" customHeight="1">
      <c r="A14" s="2">
        <v>3</v>
      </c>
      <c r="B14" s="2" t="s">
        <v>293</v>
      </c>
      <c r="C14" s="3" t="s">
        <v>333</v>
      </c>
      <c r="D14" s="3" t="s">
        <v>334</v>
      </c>
      <c r="E14" s="3" t="s">
        <v>335</v>
      </c>
      <c r="F14" s="2" t="s">
        <v>297</v>
      </c>
      <c r="G14" s="3"/>
      <c r="H14" s="2" t="s">
        <v>298</v>
      </c>
      <c r="I14" s="2">
        <v>10</v>
      </c>
      <c r="J14" s="2" t="s">
        <v>68</v>
      </c>
      <c r="K14" s="4"/>
      <c r="L14" s="3"/>
      <c r="M14" s="3"/>
    </row>
    <row r="15" spans="1:13" ht="39.950000000000003" customHeight="1">
      <c r="A15" s="2">
        <v>3</v>
      </c>
      <c r="B15" s="2" t="s">
        <v>301</v>
      </c>
      <c r="C15" s="3" t="s">
        <v>336</v>
      </c>
      <c r="D15" s="3" t="s">
        <v>317</v>
      </c>
      <c r="E15" s="3" t="s">
        <v>318</v>
      </c>
      <c r="F15" s="2" t="s">
        <v>319</v>
      </c>
      <c r="G15" s="3"/>
      <c r="H15" s="2" t="s">
        <v>298</v>
      </c>
      <c r="I15" s="2">
        <v>11</v>
      </c>
      <c r="J15" s="2" t="s">
        <v>68</v>
      </c>
      <c r="K15" s="4"/>
      <c r="L15" s="3"/>
      <c r="M15" s="3"/>
    </row>
    <row r="16" spans="1:13" ht="39.950000000000003" customHeight="1">
      <c r="A16" s="2">
        <v>3</v>
      </c>
      <c r="B16" s="2" t="s">
        <v>307</v>
      </c>
      <c r="C16" s="3" t="s">
        <v>337</v>
      </c>
      <c r="D16" s="3" t="s">
        <v>338</v>
      </c>
      <c r="E16" s="3" t="s">
        <v>324</v>
      </c>
      <c r="F16" s="2" t="s">
        <v>297</v>
      </c>
      <c r="G16" s="3"/>
      <c r="H16" s="2" t="s">
        <v>298</v>
      </c>
      <c r="I16" s="2">
        <v>12</v>
      </c>
      <c r="J16" s="2" t="s">
        <v>68</v>
      </c>
      <c r="K16" s="4"/>
      <c r="L16" s="3"/>
      <c r="M16" s="3"/>
    </row>
    <row r="17" spans="1:13" ht="39.950000000000003" customHeight="1">
      <c r="A17" s="2">
        <v>4</v>
      </c>
      <c r="B17" s="2" t="s">
        <v>232</v>
      </c>
      <c r="C17" s="3" t="s">
        <v>339</v>
      </c>
      <c r="D17" s="3" t="s">
        <v>340</v>
      </c>
      <c r="E17" s="3" t="s">
        <v>341</v>
      </c>
      <c r="F17" s="2" t="s">
        <v>297</v>
      </c>
      <c r="G17" s="3"/>
      <c r="H17" s="2" t="s">
        <v>298</v>
      </c>
      <c r="I17" s="2">
        <v>13</v>
      </c>
      <c r="J17" s="2" t="s">
        <v>68</v>
      </c>
      <c r="K17" s="4"/>
      <c r="L17" s="3"/>
      <c r="M17" s="3"/>
    </row>
    <row r="18" spans="1:13" ht="39.950000000000003" customHeight="1">
      <c r="A18" s="2">
        <v>4</v>
      </c>
      <c r="B18" s="2" t="s">
        <v>213</v>
      </c>
      <c r="C18" s="3" t="s">
        <v>342</v>
      </c>
      <c r="D18" s="3" t="s">
        <v>343</v>
      </c>
      <c r="E18" s="3" t="s">
        <v>324</v>
      </c>
      <c r="F18" s="2" t="s">
        <v>297</v>
      </c>
      <c r="G18" s="3"/>
      <c r="H18" s="2" t="s">
        <v>298</v>
      </c>
      <c r="I18" s="2">
        <v>14</v>
      </c>
      <c r="J18" s="2" t="s">
        <v>68</v>
      </c>
      <c r="K18" s="4"/>
      <c r="L18" s="3"/>
      <c r="M18" s="3"/>
    </row>
    <row r="19" spans="1:13" ht="39.950000000000003" customHeight="1">
      <c r="A19" s="2">
        <v>4</v>
      </c>
      <c r="B19" s="2" t="s">
        <v>241</v>
      </c>
      <c r="C19" s="3" t="s">
        <v>344</v>
      </c>
      <c r="D19" s="3" t="s">
        <v>345</v>
      </c>
      <c r="E19" s="3" t="s">
        <v>346</v>
      </c>
      <c r="F19" s="2" t="s">
        <v>297</v>
      </c>
      <c r="G19" s="3"/>
      <c r="H19" s="2" t="s">
        <v>298</v>
      </c>
      <c r="I19" s="2">
        <v>15</v>
      </c>
      <c r="J19" s="2" t="s">
        <v>68</v>
      </c>
      <c r="K19" s="4"/>
      <c r="L19" s="3"/>
      <c r="M19" s="3"/>
    </row>
    <row r="20" spans="1:13" ht="39.950000000000003" customHeight="1">
      <c r="A20" s="2">
        <v>4</v>
      </c>
      <c r="B20" s="2" t="s">
        <v>223</v>
      </c>
      <c r="C20" s="3" t="s">
        <v>347</v>
      </c>
      <c r="D20" s="3" t="s">
        <v>348</v>
      </c>
      <c r="E20" s="3" t="s">
        <v>349</v>
      </c>
      <c r="F20" s="2" t="s">
        <v>297</v>
      </c>
      <c r="G20" s="3"/>
      <c r="H20" s="2" t="s">
        <v>298</v>
      </c>
      <c r="I20" s="2">
        <v>16</v>
      </c>
      <c r="J20" s="2" t="s">
        <v>68</v>
      </c>
      <c r="K20" s="4"/>
      <c r="L20" s="3"/>
      <c r="M20" s="3"/>
    </row>
    <row r="21" spans="1:13" ht="39.950000000000003" customHeight="1">
      <c r="A21" s="2">
        <v>4</v>
      </c>
      <c r="B21" s="2" t="s">
        <v>350</v>
      </c>
      <c r="C21" s="3" t="s">
        <v>351</v>
      </c>
      <c r="D21" s="3" t="s">
        <v>317</v>
      </c>
      <c r="E21" s="3" t="s">
        <v>318</v>
      </c>
      <c r="F21" s="2" t="s">
        <v>319</v>
      </c>
      <c r="G21" s="3"/>
      <c r="H21" s="2" t="s">
        <v>298</v>
      </c>
      <c r="I21" s="2">
        <v>17</v>
      </c>
      <c r="J21" s="2" t="s">
        <v>68</v>
      </c>
      <c r="K21" s="4"/>
      <c r="L21" s="3"/>
      <c r="M21" s="3"/>
    </row>
    <row r="22" spans="1:13" ht="39.950000000000003" customHeight="1">
      <c r="A22" s="2">
        <v>4</v>
      </c>
      <c r="B22" s="2" t="s">
        <v>195</v>
      </c>
      <c r="C22" s="3" t="s">
        <v>352</v>
      </c>
      <c r="D22" s="3" t="s">
        <v>353</v>
      </c>
      <c r="E22" s="3" t="s">
        <v>324</v>
      </c>
      <c r="F22" s="2" t="s">
        <v>297</v>
      </c>
      <c r="G22" s="3"/>
      <c r="H22" s="2" t="s">
        <v>298</v>
      </c>
      <c r="I22" s="2">
        <v>18</v>
      </c>
      <c r="J22" s="2" t="s">
        <v>68</v>
      </c>
      <c r="K22" s="4"/>
      <c r="L22" s="3"/>
      <c r="M22" s="3"/>
    </row>
  </sheetData>
  <mergeCells count="2">
    <mergeCell ref="A2:M2"/>
    <mergeCell ref="A1:M1"/>
  </mergeCells>
  <conditionalFormatting sqref="F5:F22">
    <cfRule type="cellIs" dxfId="19" priority="4" operator="equal">
      <formula>"Requiere Proxy Año 1"</formula>
    </cfRule>
    <cfRule type="cellIs" dxfId="18" priority="5" operator="equal">
      <formula>"Solo Trimestral"</formula>
    </cfRule>
  </conditionalFormatting>
  <conditionalFormatting sqref="J5:J22">
    <cfRule type="cellIs" dxfId="17" priority="1" operator="equal">
      <formula>"V"</formula>
    </cfRule>
    <cfRule type="cellIs" dxfId="16" priority="2" operator="equal">
      <formula>"A"</formula>
    </cfRule>
    <cfRule type="cellIs" dxfId="15" priority="3" operator="equal">
      <formula>"R"</formula>
    </cfRule>
  </conditionalFormatting>
  <dataValidations count="4">
    <dataValidation type="list" sqref="F5 F6 F7 F8 F9 F10 F11 F12 F13 F14 F15 F16 F17 F18 F19 F20 F21 F22" xr:uid="{00000000-0002-0000-0300-000000000000}">
      <formula1>"Cubierto,Requiere Proxy Año 1,Solo Trimestral"</formula1>
    </dataValidation>
    <dataValidation type="list" sqref="H5 H6 H7 H8 H9 H10 H11 H12 H13 H14 H15 H16 H17 H18 H19 H20 H21 H22" xr:uid="{00000000-0002-0000-0300-000001000000}">
      <formula1>"Mensual,Trimestral"</formula1>
    </dataValidation>
    <dataValidation type="whole" allowBlank="1" sqref="I5 I6 I7 I8 I9 I10 I11 I12 I13 I14 I15 I16 I17 I18 I19 I20 I21 I22" xr:uid="{00000000-0002-0000-0300-000002000000}">
      <formula1>1</formula1>
      <formula2>5</formula2>
    </dataValidation>
    <dataValidation type="list" allowBlank="1" sqref="J5 J6 J7 J8 J9 J10 J11 J12 J13 J14 J15 J16 J17 J18 J19 J20 J21 J22" xr:uid="{00000000-0002-0000-0300-000003000000}">
      <formula1>"V,A,R"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8"/>
  <sheetViews>
    <sheetView showGridLines="0" tabSelected="1" workbookViewId="0">
      <selection activeCell="B3" sqref="B3:C3"/>
    </sheetView>
  </sheetViews>
  <sheetFormatPr defaultColWidth="8.85546875" defaultRowHeight="15"/>
  <cols>
    <col min="1" max="1" width="3.28515625" customWidth="1"/>
    <col min="2" max="2" width="6" customWidth="1"/>
    <col min="3" max="3" width="64.140625" customWidth="1"/>
    <col min="4" max="4" width="14" customWidth="1"/>
    <col min="5" max="5" width="12" customWidth="1"/>
    <col min="6" max="6" width="16" customWidth="1"/>
    <col min="7" max="7" width="51" customWidth="1"/>
    <col min="8" max="8" width="63" customWidth="1"/>
  </cols>
  <sheetData>
    <row r="1" spans="2:8" ht="26.1" customHeight="1">
      <c r="B1" s="38" t="s">
        <v>354</v>
      </c>
      <c r="C1" s="42"/>
      <c r="D1" s="42"/>
      <c r="E1" s="42"/>
      <c r="F1" s="42"/>
      <c r="G1" s="42"/>
      <c r="H1" s="42"/>
    </row>
    <row r="2" spans="2:8" ht="18" customHeight="1">
      <c r="B2" s="37" t="s">
        <v>355</v>
      </c>
      <c r="C2" s="42"/>
      <c r="D2" s="42"/>
      <c r="E2" s="42"/>
      <c r="F2" s="42"/>
      <c r="G2" s="42"/>
      <c r="H2" s="42"/>
    </row>
    <row r="4" spans="2:8" ht="24" customHeight="1">
      <c r="B4" s="1" t="s">
        <v>356</v>
      </c>
      <c r="C4" s="1" t="s">
        <v>254</v>
      </c>
      <c r="D4" s="1" t="s">
        <v>261</v>
      </c>
      <c r="E4" s="1" t="s">
        <v>357</v>
      </c>
      <c r="F4" s="1" t="s">
        <v>358</v>
      </c>
      <c r="G4" s="1" t="s">
        <v>359</v>
      </c>
      <c r="H4" s="1" t="s">
        <v>292</v>
      </c>
    </row>
    <row r="5" spans="2:8" s="33" customFormat="1" ht="28.5" customHeight="1">
      <c r="B5" s="30">
        <v>1</v>
      </c>
      <c r="C5" s="31" t="str">
        <f>IFERROR(INDEX(OKR_ROLLUP!$D:$D, MATCH($B5, OKR_ROLLUP!$C:$C, 0)),"")</f>
        <v>Reposicionamiento Estratégico y Diferenciado</v>
      </c>
      <c r="D5" s="32" t="str">
        <f>IFERROR(INDEX(OKR_ROLLUP!$K:$K, MATCH($B5, OKR_ROLLUP!$C:$C, 0)),"")</f>
        <v>A</v>
      </c>
      <c r="E5" s="30" t="str">
        <f>IFERROR(INDEX(OKR_ROLLUP!$M:$M, MATCH($B5, OKR_ROLLUP!$C:$C, 0)),"")</f>
        <v>↓</v>
      </c>
      <c r="F5" s="30" t="str">
        <f>IFERROR(INDEX(OKR_ROLLUP!$N:$N, MATCH($B5, OKR_ROLLUP!$C:$C, 0)),"")</f>
        <v>Baja</v>
      </c>
      <c r="G5" s="31" t="str">
        <f>IFERROR(INDEX(OKR_ROLLUP!$O:$O, MATCH($B5, OKR_ROLLUP!$C:$C, 0)),"")</f>
        <v xml:space="preserve">Help Me - SoS - Ayuda </v>
      </c>
      <c r="H5" s="31" t="str">
        <f>IFERROR(INDEX(OKR_ROLLUP!$P:$P, MATCH($B5, OKR_ROLLUP!$C:$C, 0)),"")</f>
        <v xml:space="preserve">Recomendar Experto Actuario </v>
      </c>
    </row>
    <row r="6" spans="2:8" s="33" customFormat="1" ht="28.5" customHeight="1">
      <c r="B6" s="30">
        <v>2</v>
      </c>
      <c r="C6" s="31" t="str">
        <f>IFERROR(INDEX(OKR_ROLLUP!$D:$D, MATCH($B6, OKR_ROLLUP!$C:$C, 0)),"")</f>
        <v>Transformación Digital y Eficiencia Operativa</v>
      </c>
      <c r="D6" s="32" t="str">
        <f>IFERROR(INDEX(OKR_ROLLUP!$K:$K, MATCH($B6, OKR_ROLLUP!$C:$C, 0)),"")</f>
        <v>R</v>
      </c>
      <c r="E6" s="30" t="str">
        <f>IFERROR(INDEX(OKR_ROLLUP!$M:$M, MATCH($B6, OKR_ROLLUP!$C:$C, 0)),"")</f>
        <v>↓</v>
      </c>
      <c r="F6" s="30" t="str">
        <f>IFERROR(INDEX(OKR_ROLLUP!$N:$N, MATCH($B6, OKR_ROLLUP!$C:$C, 0)),"")</f>
        <v>Baja</v>
      </c>
      <c r="G6" s="31" t="str">
        <f>IFERROR(INDEX(OKR_ROLLUP!$O:$O, MATCH($B6, OKR_ROLLUP!$C:$C, 0)),"")</f>
        <v xml:space="preserve">Help Me - SoS - Ayuda </v>
      </c>
      <c r="H6" s="31" t="str">
        <f>IFERROR(INDEX(OKR_ROLLUP!$P:$P, MATCH($B6, OKR_ROLLUP!$C:$C, 0)),"")</f>
        <v>Activamos nuevo canal alternativo</v>
      </c>
    </row>
    <row r="7" spans="2:8" s="33" customFormat="1" ht="28.5" customHeight="1">
      <c r="B7" s="30">
        <v>3</v>
      </c>
      <c r="C7" s="31" t="str">
        <f>IFERROR(INDEX(OKR_ROLLUP!$D:$D, MATCH($B7, OKR_ROLLUP!$C:$C, 0)),"")</f>
        <v>Atraer las nuevas generaciones de socios</v>
      </c>
      <c r="D7" s="34" t="str">
        <f>IFERROR(INDEX(OKR_ROLLUP!$K:$K, MATCH($B7, OKR_ROLLUP!$C:$C, 0)),"")</f>
        <v>A</v>
      </c>
      <c r="E7" s="30" t="str">
        <f>IFERROR(INDEX(OKR_ROLLUP!$M:$M, MATCH($B7, OKR_ROLLUP!$C:$C, 0)),"")</f>
        <v>→</v>
      </c>
      <c r="F7" s="30" t="str">
        <f>IFERROR(INDEX(OKR_ROLLUP!$N:$N, MATCH($B7, OKR_ROLLUP!$C:$C, 0)),"")</f>
        <v>Media</v>
      </c>
      <c r="G7" s="31" t="str">
        <f>IFERROR(INDEX(OKR_ROLLUP!$O:$O, MATCH($B7, OKR_ROLLUP!$C:$C, 0)),"")</f>
        <v>Plan de mitigacion activado</v>
      </c>
      <c r="H7" s="31" t="str">
        <f>IFERROR(INDEX(OKR_ROLLUP!$P:$P, MATCH($B7, OKR_ROLLUP!$C:$C, 0)),"")</f>
        <v>Creamos task force para resolucion de los sangramientos operativos</v>
      </c>
    </row>
    <row r="8" spans="2:8" s="33" customFormat="1" ht="28.5" customHeight="1">
      <c r="B8" s="30">
        <v>4</v>
      </c>
      <c r="C8" s="31" t="str">
        <f>IFERROR(INDEX(OKR_ROLLUP!$D:$D, MATCH($B8, OKR_ROLLUP!$C:$C, 0)),"")</f>
        <v>Modelo Comercial Sustentable y Sostenible</v>
      </c>
      <c r="D8" s="35" t="str">
        <f>IFERROR(INDEX(OKR_ROLLUP!$K:$K, MATCH($B8, OKR_ROLLUP!$C:$C, 0)),"")</f>
        <v>V</v>
      </c>
      <c r="E8" s="30" t="str">
        <f>IFERROR(INDEX(OKR_ROLLUP!$M:$M, MATCH($B8, OKR_ROLLUP!$C:$C, 0)),"")</f>
        <v>↑</v>
      </c>
      <c r="F8" s="30" t="str">
        <f>IFERROR(INDEX(OKR_ROLLUP!$N:$N, MATCH($B8, OKR_ROLLUP!$C:$C, 0)),"")</f>
        <v>Alta</v>
      </c>
      <c r="G8" s="31" t="str">
        <f>IFERROR(INDEX(OKR_ROLLUP!$O:$O, MATCH($B8, OKR_ROLLUP!$C:$C, 0)),"")</f>
        <v>Monitoreando</v>
      </c>
      <c r="H8" s="31">
        <f>IFERROR(INDEX(OKR_ROLLUP!$P:$P, MATCH($B8, OKR_ROLLUP!$C:$C, 0)),"")</f>
        <v>0</v>
      </c>
    </row>
    <row r="9" spans="2:8" s="33" customFormat="1" ht="28.5" customHeight="1">
      <c r="B9" s="30">
        <v>5</v>
      </c>
      <c r="C9" s="31" t="str">
        <f>IFERROR(INDEX(OKR_ROLLUP!$D:$D, MATCH($B9, OKR_ROLLUP!$C:$C, 0)),"")</f>
        <v>Consolidar un Marco Institucional de Apetito de Riesgo que oriente la toma de decisiones en todos los niveles</v>
      </c>
      <c r="D9" s="35" t="str">
        <f>IFERROR(INDEX(OKR_ROLLUP!$K:$K, MATCH($B9, OKR_ROLLUP!$C:$C, 0)),"")</f>
        <v>V</v>
      </c>
      <c r="E9" s="30" t="str">
        <f>IFERROR(INDEX(OKR_ROLLUP!$M:$M, MATCH($B9, OKR_ROLLUP!$C:$C, 0)),"")</f>
        <v>→</v>
      </c>
      <c r="F9" s="30" t="str">
        <f>IFERROR(INDEX(OKR_ROLLUP!$N:$N, MATCH($B9, OKR_ROLLUP!$C:$C, 0)),"")</f>
        <v>Alta</v>
      </c>
      <c r="G9" s="31" t="str">
        <f>IFERROR(INDEX(OKR_ROLLUP!$O:$O, MATCH($B9, OKR_ROLLUP!$C:$C, 0)),"")</f>
        <v>Monitoreando</v>
      </c>
      <c r="H9" s="31">
        <f>IFERROR(INDEX(OKR_ROLLUP!$P:$P, MATCH($B9, OKR_ROLLUP!$C:$C, 0)),"")</f>
        <v>0</v>
      </c>
    </row>
    <row r="10" spans="2:8" s="33" customFormat="1" ht="28.5" customHeight="1">
      <c r="B10" s="30">
        <v>6</v>
      </c>
      <c r="C10" s="31" t="str">
        <f>IFERROR(INDEX(OKR_ROLLUP!$D:$D, MATCH($B10, OKR_ROLLUP!$C:$C, 0)),"")</f>
        <v>Fortalecer la resiliencia organizacional y una cultura de riesgo ética y proactiva</v>
      </c>
      <c r="D10" s="35" t="str">
        <f>IFERROR(INDEX(OKR_ROLLUP!$K:$K, MATCH($B10, OKR_ROLLUP!$C:$C, 0)),"")</f>
        <v>V</v>
      </c>
      <c r="E10" s="30" t="str">
        <f>IFERROR(INDEX(OKR_ROLLUP!$M:$M, MATCH($B10, OKR_ROLLUP!$C:$C, 0)),"")</f>
        <v>↓</v>
      </c>
      <c r="F10" s="30" t="str">
        <f>IFERROR(INDEX(OKR_ROLLUP!$N:$N, MATCH($B10, OKR_ROLLUP!$C:$C, 0)),"")</f>
        <v>Alta</v>
      </c>
      <c r="G10" s="31" t="str">
        <f>IFERROR(INDEX(OKR_ROLLUP!$O:$O, MATCH($B10, OKR_ROLLUP!$C:$C, 0)),"")</f>
        <v>Monitoreando</v>
      </c>
      <c r="H10" s="31">
        <f>IFERROR(INDEX(OKR_ROLLUP!$P:$P, MATCH($B10, OKR_ROLLUP!$C:$C, 0)),"")</f>
        <v>0</v>
      </c>
    </row>
    <row r="11" spans="2:8" s="33" customFormat="1" ht="28.5" customHeight="1">
      <c r="B11" s="30">
        <v>7</v>
      </c>
      <c r="C11" s="31" t="str">
        <f>IFERROR(INDEX(OKR_ROLLUP!$D:$D, MATCH($B11, OKR_ROLLUP!$C:$C, 0)),"")</f>
        <v>Generación de Liderazgo Estratégico y Adaptativo</v>
      </c>
      <c r="D11" s="35" t="str">
        <f>IFERROR(INDEX(OKR_ROLLUP!$K:$K, MATCH($B11, OKR_ROLLUP!$C:$C, 0)),"")</f>
        <v>V</v>
      </c>
      <c r="E11" s="30" t="str">
        <f>IFERROR(INDEX(OKR_ROLLUP!$M:$M, MATCH($B11, OKR_ROLLUP!$C:$C, 0)),"")</f>
        <v>↑</v>
      </c>
      <c r="F11" s="30" t="str">
        <f>IFERROR(INDEX(OKR_ROLLUP!$N:$N, MATCH($B11, OKR_ROLLUP!$C:$C, 0)),"")</f>
        <v>Alta</v>
      </c>
      <c r="G11" s="31" t="str">
        <f>IFERROR(INDEX(OKR_ROLLUP!$O:$O, MATCH($B11, OKR_ROLLUP!$C:$C, 0)),"")</f>
        <v>Monitoreando</v>
      </c>
      <c r="H11" s="31">
        <f>IFERROR(INDEX(OKR_ROLLUP!$P:$P, MATCH($B11, OKR_ROLLUP!$C:$C, 0)),"")</f>
        <v>0</v>
      </c>
    </row>
    <row r="12" spans="2:8" s="33" customFormat="1" ht="28.5" customHeight="1">
      <c r="B12" s="30">
        <v>8</v>
      </c>
      <c r="C12" s="31" t="str">
        <f>IFERROR(INDEX(OKR_ROLLUP!$D:$D, MATCH($B12, OKR_ROLLUP!$C:$C, 0)),"")</f>
        <v>Gobernanza  orientada a la Sostenibilidad Corporativa</v>
      </c>
      <c r="D12" s="35" t="str">
        <f>IFERROR(INDEX(OKR_ROLLUP!$K:$K, MATCH($B12, OKR_ROLLUP!$C:$C, 0)),"")</f>
        <v>V</v>
      </c>
      <c r="E12" s="30" t="str">
        <f>IFERROR(INDEX(OKR_ROLLUP!$M:$M, MATCH($B12, OKR_ROLLUP!$C:$C, 0)),"")</f>
        <v>→</v>
      </c>
      <c r="F12" s="30" t="str">
        <f>IFERROR(INDEX(OKR_ROLLUP!$N:$N, MATCH($B12, OKR_ROLLUP!$C:$C, 0)),"")</f>
        <v>Alta</v>
      </c>
      <c r="G12" s="31" t="str">
        <f>IFERROR(INDEX(OKR_ROLLUP!$O:$O, MATCH($B12, OKR_ROLLUP!$C:$C, 0)),"")</f>
        <v>Monitoreando</v>
      </c>
      <c r="H12" s="31">
        <f>IFERROR(INDEX(OKR_ROLLUP!$P:$P, MATCH($B12, OKR_ROLLUP!$C:$C, 0)),"")</f>
        <v>0</v>
      </c>
    </row>
    <row r="13" spans="2:8" ht="28.5" customHeight="1">
      <c r="B13" s="28"/>
      <c r="C13" s="28"/>
      <c r="D13" s="28"/>
      <c r="E13" s="28"/>
      <c r="F13" s="28"/>
      <c r="G13" s="28"/>
      <c r="H13" s="28"/>
    </row>
    <row r="14" spans="2:8" ht="28.5" customHeight="1">
      <c r="B14" s="43" t="s">
        <v>360</v>
      </c>
      <c r="C14" s="44"/>
      <c r="D14" s="44"/>
      <c r="E14" s="44"/>
      <c r="F14" s="44"/>
      <c r="G14" s="44"/>
      <c r="H14" s="44"/>
    </row>
    <row r="15" spans="2:8" ht="28.5" customHeight="1">
      <c r="B15" s="29" t="s">
        <v>361</v>
      </c>
      <c r="C15" s="29" t="s">
        <v>362</v>
      </c>
      <c r="D15" s="29" t="s">
        <v>363</v>
      </c>
      <c r="E15" s="29" t="s">
        <v>261</v>
      </c>
      <c r="F15" s="29" t="s">
        <v>364</v>
      </c>
      <c r="G15" s="29" t="s">
        <v>291</v>
      </c>
      <c r="H15" s="29" t="s">
        <v>292</v>
      </c>
    </row>
    <row r="16" spans="2:8" s="33" customFormat="1" ht="28.5" customHeight="1">
      <c r="B16" s="30">
        <v>1</v>
      </c>
      <c r="C16" s="31" t="str">
        <f>IFERROR(INDEX(ALINEACIÓN_2028_a_2026!$C:$C, MATCH($B16, ALINEACIÓN_2028_a_2026!$I:$I, 0)),"")</f>
        <v>Mejorar eficiencia operativa al 30%</v>
      </c>
      <c r="D16" s="30" t="str">
        <f>IFERROR(INDEX(ALINEACIÓN_2028_a_2026!$F:$F, MATCH($B16, ALINEACIÓN_2028_a_2026!$I:$I, 0)),"")</f>
        <v>Cubierto</v>
      </c>
      <c r="E16" s="32" t="str">
        <f>IFERROR(INDEX(ALINEACIÓN_2028_a_2026!$J:$J, MATCH($B16, ALINEACIÓN_2028_a_2026!$I:$I, 0)),"")</f>
        <v>R</v>
      </c>
      <c r="F16" s="36">
        <f>IFERROR(INDEX(ALINEACIÓN_2028_a_2026!$K:$K, MATCH($B16, ALINEACIÓN_2028_a_2026!$I:$I, 0)),"")</f>
        <v>46081</v>
      </c>
      <c r="G16" s="31" t="str">
        <f>IFERROR(INDEX(ALINEACIÓN_2028_a_2026!$L:$L, MATCH($B16, ALINEACIÓN_2028_a_2026!$I:$I, 0)),"")</f>
        <v>Externo Analysis del Problema activado</v>
      </c>
      <c r="H16" s="31" t="str">
        <f>IFERROR(INDEX(ALINEACIÓN_2028_a_2026!$M:$M, MATCH($B16, ALINEACIÓN_2028_a_2026!$I:$I, 0)),"")</f>
        <v>Aprobar plan de correction de corto plazo</v>
      </c>
    </row>
    <row r="17" spans="2:8" s="33" customFormat="1" ht="28.5" customHeight="1">
      <c r="B17" s="30">
        <v>2</v>
      </c>
      <c r="C17" s="31" t="str">
        <f>IFERROR(INDEX(ALINEACIÓN_2028_a_2026!$C:$C, MATCH($B17, ALINEACIÓN_2028_a_2026!$I:$I, 0)),"")</f>
        <v>Aumentar Participación de Mercado 3.6 a 4.5%</v>
      </c>
      <c r="D17" s="30" t="str">
        <f>IFERROR(INDEX(ALINEACIÓN_2028_a_2026!$F:$F, MATCH($B17, ALINEACIÓN_2028_a_2026!$I:$I, 0)),"")</f>
        <v>Cubierto</v>
      </c>
      <c r="E17" s="34" t="str">
        <f>IFERROR(INDEX(ALINEACIÓN_2028_a_2026!$J:$J, MATCH($B17, ALINEACIÓN_2028_a_2026!$I:$I, 0)),"")</f>
        <v>A</v>
      </c>
      <c r="F17" s="36">
        <f>IFERROR(INDEX(ALINEACIÓN_2028_a_2026!$K:$K, MATCH($B17, ALINEACIÓN_2028_a_2026!$I:$I, 0)),"")</f>
        <v>46099</v>
      </c>
      <c r="G17" s="31" t="str">
        <f>IFERROR(INDEX(ALINEACIÓN_2028_a_2026!$L:$L, MATCH($B17, ALINEACIÓN_2028_a_2026!$I:$I, 0)),"")</f>
        <v>Campana para nuevos socios se debe cambiar a otro mercado basado en resultados preliminares</v>
      </c>
      <c r="H17" s="31" t="str">
        <f>IFERROR(INDEX(ALINEACIÓN_2028_a_2026!$M:$M, MATCH($B17, ALINEACIÓN_2028_a_2026!$I:$I, 0)),"")</f>
        <v>Aprobar Presupuesto y establecer gatillos de escalamiento</v>
      </c>
    </row>
    <row r="18" spans="2:8" s="33" customFormat="1" ht="28.5" customHeight="1">
      <c r="B18" s="30">
        <v>3</v>
      </c>
      <c r="C18" s="31" t="str">
        <f>IFERROR(INDEX(ALINEACIÓN_2028_a_2026!$C:$C, MATCH($B18, ALINEACIÓN_2028_a_2026!$I:$I, 0)),"")</f>
        <v>Mantener NPS a 8</v>
      </c>
      <c r="D18" s="30" t="str">
        <f>IFERROR(INDEX(ALINEACIÓN_2028_a_2026!$F:$F, MATCH($B18, ALINEACIÓN_2028_a_2026!$I:$I, 0)),"")</f>
        <v>Cubierto</v>
      </c>
      <c r="E18" s="35" t="str">
        <f>IFERROR(INDEX(ALINEACIÓN_2028_a_2026!$J:$J, MATCH($B18, ALINEACIÓN_2028_a_2026!$I:$I, 0)),"")</f>
        <v>V</v>
      </c>
      <c r="F18" s="36">
        <f>IFERROR(INDEX(ALINEACIÓN_2028_a_2026!$K:$K, MATCH($B18, ALINEACIÓN_2028_a_2026!$I:$I, 0)),"")</f>
        <v>46120</v>
      </c>
      <c r="G18" s="31" t="str">
        <f>IFERROR(INDEX(ALINEACIÓN_2028_a_2026!$L:$L, MATCH($B18, ALINEACIÓN_2028_a_2026!$I:$I, 0)),"")</f>
        <v>Monitoreando</v>
      </c>
      <c r="H18" s="31">
        <f>IFERROR(INDEX(ALINEACIÓN_2028_a_2026!$M:$M, MATCH($B18, ALINEACIÓN_2028_a_2026!$I:$I, 0)),"")</f>
        <v>0</v>
      </c>
    </row>
    <row r="19" spans="2:8" s="33" customFormat="1" ht="28.5" customHeight="1">
      <c r="B19" s="30">
        <v>4</v>
      </c>
      <c r="C19" s="31" t="str">
        <f>IFERROR(INDEX(ALINEACIÓN_2028_a_2026!$C:$C, MATCH($B19, ALINEACIÓN_2028_a_2026!$I:$I, 0)),"")</f>
        <v>Incrementar activos totales a MXN $21 mil mdp</v>
      </c>
      <c r="D19" s="30" t="str">
        <f>IFERROR(INDEX(ALINEACIÓN_2028_a_2026!$F:$F, MATCH($B19, ALINEACIÓN_2028_a_2026!$I:$I, 0)),"")</f>
        <v>Cubierto</v>
      </c>
      <c r="E19" s="34" t="str">
        <f>IFERROR(INDEX(ALINEACIÓN_2028_a_2026!$J:$J, MATCH($B19, ALINEACIÓN_2028_a_2026!$I:$I, 0)),"")</f>
        <v>A</v>
      </c>
      <c r="F19" s="36">
        <f>IFERROR(INDEX(ALINEACIÓN_2028_a_2026!$K:$K, MATCH($B19, ALINEACIÓN_2028_a_2026!$I:$I, 0)),"")</f>
        <v>46080</v>
      </c>
      <c r="G19" s="31" t="str">
        <f>IFERROR(INDEX(ALINEACIÓN_2028_a_2026!$L:$L, MATCH($B19, ALINEACIÓN_2028_a_2026!$I:$I, 0)),"")</f>
        <v>Asignacion a Comision Comercial para profundizar entendimiento de los problemas</v>
      </c>
      <c r="H19" s="31" t="str">
        <f>IFERROR(INDEX(ALINEACIÓN_2028_a_2026!$M:$M, MATCH($B19, ALINEACIÓN_2028_a_2026!$I:$I, 0)),"")</f>
        <v>Establecer prioridades para los cambios del plan de captacion</v>
      </c>
    </row>
    <row r="20" spans="2:8" s="33" customFormat="1" ht="28.5" customHeight="1">
      <c r="B20" s="30">
        <v>5</v>
      </c>
      <c r="C20" s="31" t="str">
        <f>IFERROR(INDEX(ALINEACIÓN_2028_a_2026!$C:$C, MATCH($B20, ALINEACIÓN_2028_a_2026!$I:$I, 0)),"")</f>
        <v>Mantener mora &lt;=8%</v>
      </c>
      <c r="D20" s="30" t="str">
        <f>IFERROR(INDEX(ALINEACIÓN_2028_a_2026!$F:$F, MATCH($B20, ALINEACIÓN_2028_a_2026!$I:$I, 0)),"")</f>
        <v>Requiere Proxy Año 1</v>
      </c>
      <c r="E20" s="34" t="str">
        <f>IFERROR(INDEX(ALINEACIÓN_2028_a_2026!$J:$J, MATCH($B20, ALINEACIÓN_2028_a_2026!$I:$I, 0)),"")</f>
        <v>A</v>
      </c>
      <c r="F20" s="36">
        <f>IFERROR(INDEX(ALINEACIÓN_2028_a_2026!$K:$K, MATCH($B20, ALINEACIÓN_2028_a_2026!$I:$I, 0)),"")</f>
        <v>46112</v>
      </c>
      <c r="G20" s="31" t="str">
        <f>IFERROR(INDEX(ALINEACIÓN_2028_a_2026!$L:$L, MATCH($B20, ALINEACIÓN_2028_a_2026!$I:$I, 0)),"")</f>
        <v>Cobranza perdio 15% de la estructura este mes</v>
      </c>
      <c r="H20" s="31" t="str">
        <f>IFERROR(INDEX(ALINEACIÓN_2028_a_2026!$M:$M, MATCH($B20, ALINEACIÓN_2028_a_2026!$I:$I, 0)),"")</f>
        <v>Aprovar proveedor para corto plazo</v>
      </c>
    </row>
    <row r="28" spans="2:8" ht="15.75">
      <c r="C28" s="33"/>
    </row>
  </sheetData>
  <mergeCells count="3">
    <mergeCell ref="B14:H14"/>
    <mergeCell ref="B2:H2"/>
    <mergeCell ref="B1:H1"/>
  </mergeCells>
  <conditionalFormatting sqref="D5:D12">
    <cfRule type="cellIs" dxfId="14" priority="7" operator="equal">
      <formula>"V"</formula>
    </cfRule>
    <cfRule type="cellIs" dxfId="13" priority="8" operator="equal">
      <formula>"A"</formula>
    </cfRule>
    <cfRule type="cellIs" dxfId="12" priority="9" operator="equal">
      <formula>"R"</formula>
    </cfRule>
  </conditionalFormatting>
  <conditionalFormatting sqref="E17 E19:E20">
    <cfRule type="cellIs" dxfId="11" priority="13" operator="equal">
      <formula>"V"</formula>
    </cfRule>
    <cfRule type="cellIs" dxfId="10" priority="14" operator="equal">
      <formula>"A"</formula>
    </cfRule>
    <cfRule type="cellIs" dxfId="9" priority="15" operator="equal">
      <formula>"R"</formula>
    </cfRule>
  </conditionalFormatting>
  <conditionalFormatting sqref="F5:F12">
    <cfRule type="cellIs" dxfId="8" priority="10" operator="equal">
      <formula>"Alta"</formula>
    </cfRule>
    <cfRule type="cellIs" dxfId="7" priority="11" operator="equal">
      <formula>"Media"</formula>
    </cfRule>
    <cfRule type="cellIs" dxfId="6" priority="12" operator="equal">
      <formula>"Baja"</formula>
    </cfRule>
  </conditionalFormatting>
  <conditionalFormatting sqref="E16">
    <cfRule type="cellIs" dxfId="5" priority="4" operator="equal">
      <formula>"V"</formula>
    </cfRule>
    <cfRule type="cellIs" dxfId="4" priority="5" operator="equal">
      <formula>"A"</formula>
    </cfRule>
    <cfRule type="cellIs" dxfId="3" priority="6" operator="equal">
      <formula>"R"</formula>
    </cfRule>
  </conditionalFormatting>
  <conditionalFormatting sqref="E18">
    <cfRule type="cellIs" dxfId="2" priority="1" operator="equal">
      <formula>"V"</formula>
    </cfRule>
    <cfRule type="cellIs" dxfId="1" priority="2" operator="equal">
      <formula>"A"</formula>
    </cfRule>
    <cfRule type="cellIs" dxfId="0" priority="3" operator="equal">
      <formula>"R"</formula>
    </cfRule>
  </conditionalFormatting>
  <pageMargins left="0.3" right="0.3" top="0.4" bottom="0.4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showGridLines="0" workbookViewId="0">
      <pane ySplit="4" topLeftCell="B5" activePane="bottomLeft" state="frozen"/>
      <selection pane="bottomLeft" activeCell="E12" sqref="E12"/>
    </sheetView>
  </sheetViews>
  <sheetFormatPr defaultColWidth="8.85546875" defaultRowHeight="15"/>
  <cols>
    <col min="1" max="1" width="16" customWidth="1"/>
    <col min="2" max="2" width="44" customWidth="1"/>
    <col min="3" max="4" width="16" customWidth="1"/>
    <col min="5" max="5" width="44" customWidth="1"/>
    <col min="6" max="11" width="16" customWidth="1"/>
    <col min="12" max="12" width="19.42578125" customWidth="1"/>
  </cols>
  <sheetData>
    <row r="1" spans="1:12" ht="21.95" customHeight="1">
      <c r="A1" s="40" t="s">
        <v>365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ht="18" customHeight="1">
      <c r="A2" s="37" t="s">
        <v>366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4" spans="1:12" ht="24" customHeight="1">
      <c r="A4" s="1" t="s">
        <v>367</v>
      </c>
      <c r="B4" s="1" t="s">
        <v>368</v>
      </c>
      <c r="C4" s="1" t="s">
        <v>12</v>
      </c>
      <c r="D4" s="1" t="s">
        <v>14</v>
      </c>
      <c r="E4" s="1" t="s">
        <v>369</v>
      </c>
      <c r="F4" s="1" t="s">
        <v>370</v>
      </c>
      <c r="G4" s="1" t="s">
        <v>371</v>
      </c>
      <c r="H4" s="1" t="s">
        <v>17</v>
      </c>
      <c r="I4" s="1" t="s">
        <v>18</v>
      </c>
      <c r="J4" s="1" t="s">
        <v>16</v>
      </c>
      <c r="K4" s="1" t="s">
        <v>19</v>
      </c>
      <c r="L4" t="s">
        <v>372</v>
      </c>
    </row>
    <row r="5" spans="1:12" ht="33.950000000000003" customHeight="1">
      <c r="A5" s="2">
        <v>1</v>
      </c>
      <c r="B5" s="3" t="s">
        <v>373</v>
      </c>
      <c r="C5" s="2">
        <v>1</v>
      </c>
      <c r="D5" s="2" t="s">
        <v>293</v>
      </c>
      <c r="E5" s="3" t="s">
        <v>294</v>
      </c>
      <c r="F5" s="2" t="s">
        <v>374</v>
      </c>
      <c r="G5" s="2">
        <v>0.3</v>
      </c>
      <c r="H5" s="2"/>
      <c r="I5" s="2"/>
      <c r="J5" s="2">
        <v>0.47199999999999998</v>
      </c>
      <c r="K5" s="2"/>
      <c r="L5" s="6" t="s">
        <v>375</v>
      </c>
    </row>
    <row r="6" spans="1:12" ht="33.950000000000003" customHeight="1">
      <c r="A6" s="2">
        <v>1</v>
      </c>
      <c r="B6" s="3" t="s">
        <v>373</v>
      </c>
      <c r="C6" s="2">
        <v>2</v>
      </c>
      <c r="D6" s="2" t="s">
        <v>301</v>
      </c>
      <c r="E6" s="3" t="s">
        <v>376</v>
      </c>
      <c r="F6" s="2" t="s">
        <v>377</v>
      </c>
      <c r="G6" s="2" t="s">
        <v>378</v>
      </c>
      <c r="H6" s="2"/>
      <c r="I6" s="2"/>
      <c r="J6" s="2">
        <v>4.02E-2</v>
      </c>
      <c r="K6" s="2"/>
      <c r="L6" s="5"/>
    </row>
    <row r="7" spans="1:12" ht="33.950000000000003" customHeight="1">
      <c r="A7" s="2">
        <v>1</v>
      </c>
      <c r="B7" s="3" t="s">
        <v>373</v>
      </c>
      <c r="C7" s="2">
        <v>3</v>
      </c>
      <c r="D7" s="2" t="s">
        <v>307</v>
      </c>
      <c r="E7" s="3" t="s">
        <v>379</v>
      </c>
      <c r="F7" s="2" t="s">
        <v>380</v>
      </c>
      <c r="G7" s="2">
        <v>8</v>
      </c>
      <c r="H7" s="2"/>
      <c r="I7" s="2"/>
      <c r="J7" s="2">
        <v>8</v>
      </c>
      <c r="K7" s="2"/>
    </row>
    <row r="8" spans="1:12" ht="33.950000000000003" customHeight="1">
      <c r="A8" s="2">
        <v>2</v>
      </c>
      <c r="B8" s="3" t="s">
        <v>100</v>
      </c>
      <c r="C8" s="2">
        <v>4</v>
      </c>
      <c r="D8" s="2" t="s">
        <v>293</v>
      </c>
      <c r="E8" s="3" t="s">
        <v>381</v>
      </c>
      <c r="F8" s="2" t="s">
        <v>377</v>
      </c>
      <c r="G8" s="2" t="s">
        <v>382</v>
      </c>
      <c r="H8" s="2"/>
      <c r="I8" s="2"/>
      <c r="J8" s="2" t="s">
        <v>383</v>
      </c>
      <c r="K8" s="2"/>
      <c r="L8" s="6" t="s">
        <v>375</v>
      </c>
    </row>
    <row r="9" spans="1:12" ht="33.950000000000003" customHeight="1">
      <c r="A9" s="2">
        <v>2</v>
      </c>
      <c r="B9" s="3" t="s">
        <v>100</v>
      </c>
      <c r="C9" s="2">
        <v>5</v>
      </c>
      <c r="D9" s="2" t="s">
        <v>301</v>
      </c>
      <c r="E9" s="3" t="s">
        <v>384</v>
      </c>
      <c r="F9" s="2" t="s">
        <v>385</v>
      </c>
      <c r="G9" s="2"/>
      <c r="H9" s="2"/>
      <c r="I9" s="2"/>
      <c r="J9" s="2">
        <v>9.4700000000000006E-2</v>
      </c>
      <c r="K9" s="2"/>
      <c r="L9" s="6" t="s">
        <v>375</v>
      </c>
    </row>
    <row r="10" spans="1:12" ht="33.950000000000003" customHeight="1">
      <c r="A10" s="2">
        <v>2</v>
      </c>
      <c r="B10" s="3" t="s">
        <v>100</v>
      </c>
      <c r="C10" s="2">
        <v>6</v>
      </c>
      <c r="D10" s="2" t="s">
        <v>307</v>
      </c>
      <c r="E10" s="3" t="s">
        <v>386</v>
      </c>
      <c r="F10" s="2" t="s">
        <v>377</v>
      </c>
      <c r="G10" s="2" t="s">
        <v>387</v>
      </c>
      <c r="H10" s="2"/>
      <c r="I10" s="2"/>
      <c r="J10" s="2">
        <v>33333</v>
      </c>
      <c r="K10" s="2"/>
    </row>
    <row r="11" spans="1:12" ht="33.950000000000003" customHeight="1">
      <c r="A11" s="2">
        <v>2</v>
      </c>
      <c r="B11" s="3" t="s">
        <v>100</v>
      </c>
      <c r="C11" s="2">
        <v>7</v>
      </c>
      <c r="D11" s="2" t="s">
        <v>325</v>
      </c>
      <c r="E11" s="3" t="s">
        <v>388</v>
      </c>
      <c r="F11" s="2" t="s">
        <v>377</v>
      </c>
      <c r="G11" s="2" t="s">
        <v>389</v>
      </c>
      <c r="H11" s="2"/>
      <c r="I11" s="2"/>
      <c r="J11" s="2">
        <v>16700</v>
      </c>
      <c r="K11" s="2"/>
    </row>
    <row r="12" spans="1:12" ht="33.950000000000003" customHeight="1">
      <c r="A12" s="2">
        <v>2</v>
      </c>
      <c r="B12" s="3" t="s">
        <v>100</v>
      </c>
      <c r="C12" s="2">
        <v>8</v>
      </c>
      <c r="D12" s="2" t="s">
        <v>328</v>
      </c>
      <c r="E12" s="3" t="s">
        <v>390</v>
      </c>
      <c r="F12" s="2" t="s">
        <v>380</v>
      </c>
      <c r="G12" s="2" t="s">
        <v>391</v>
      </c>
      <c r="H12" s="2"/>
      <c r="I12" s="2"/>
      <c r="J12" s="2">
        <v>3000</v>
      </c>
      <c r="K12" s="2"/>
    </row>
    <row r="13" spans="1:12" ht="33.950000000000003" customHeight="1">
      <c r="A13" s="2">
        <v>2</v>
      </c>
      <c r="B13" s="3" t="s">
        <v>100</v>
      </c>
      <c r="C13" s="2">
        <v>9</v>
      </c>
      <c r="D13" s="2" t="s">
        <v>331</v>
      </c>
      <c r="E13" s="3" t="s">
        <v>392</v>
      </c>
      <c r="F13" s="2" t="s">
        <v>374</v>
      </c>
      <c r="G13" s="2">
        <v>0.05</v>
      </c>
      <c r="H13" s="2"/>
      <c r="I13" s="2"/>
      <c r="J13" s="2">
        <v>3.4000000000000002E-2</v>
      </c>
      <c r="K13" s="2"/>
      <c r="L13" s="5"/>
    </row>
    <row r="14" spans="1:12" ht="48">
      <c r="A14" s="2">
        <v>3</v>
      </c>
      <c r="B14" s="3" t="s">
        <v>393</v>
      </c>
      <c r="C14" s="2">
        <v>10</v>
      </c>
      <c r="D14" s="2" t="s">
        <v>293</v>
      </c>
      <c r="E14" s="3" t="s">
        <v>394</v>
      </c>
      <c r="F14" s="2" t="s">
        <v>385</v>
      </c>
      <c r="G14" s="2" t="s">
        <v>395</v>
      </c>
      <c r="H14" s="2"/>
      <c r="I14" s="2"/>
      <c r="J14" s="2" t="s">
        <v>396</v>
      </c>
      <c r="K14" s="2"/>
    </row>
    <row r="15" spans="1:12" ht="48">
      <c r="A15" s="2">
        <v>3</v>
      </c>
      <c r="B15" s="3" t="s">
        <v>393</v>
      </c>
      <c r="C15" s="2">
        <v>11</v>
      </c>
      <c r="D15" s="2" t="s">
        <v>301</v>
      </c>
      <c r="E15" s="3" t="s">
        <v>397</v>
      </c>
      <c r="F15" s="2" t="s">
        <v>385</v>
      </c>
      <c r="G15" s="2" t="s">
        <v>398</v>
      </c>
      <c r="H15" s="2"/>
      <c r="I15" s="2"/>
      <c r="J15" s="2" t="s">
        <v>399</v>
      </c>
      <c r="K15" s="2"/>
      <c r="L15" s="5"/>
    </row>
    <row r="16" spans="1:12" ht="48">
      <c r="A16" s="2">
        <v>3</v>
      </c>
      <c r="B16" s="3" t="s">
        <v>393</v>
      </c>
      <c r="C16" s="2">
        <v>12</v>
      </c>
      <c r="D16" s="2" t="s">
        <v>307</v>
      </c>
      <c r="E16" s="3" t="s">
        <v>400</v>
      </c>
      <c r="F16" s="2" t="s">
        <v>385</v>
      </c>
      <c r="G16" s="2" t="s">
        <v>401</v>
      </c>
      <c r="H16" s="2"/>
      <c r="I16" s="2"/>
      <c r="J16" s="2">
        <v>0.5</v>
      </c>
      <c r="K16" s="2"/>
    </row>
    <row r="17" spans="1:11" ht="33.950000000000003" customHeight="1">
      <c r="A17" s="2">
        <v>4</v>
      </c>
      <c r="B17" s="3" t="s">
        <v>402</v>
      </c>
      <c r="C17" s="2">
        <v>13</v>
      </c>
      <c r="D17" s="2" t="s">
        <v>293</v>
      </c>
      <c r="E17" s="3" t="s">
        <v>403</v>
      </c>
      <c r="F17" s="2" t="s">
        <v>404</v>
      </c>
      <c r="G17" s="2">
        <v>9</v>
      </c>
      <c r="H17" s="2"/>
      <c r="I17" s="2"/>
      <c r="J17" s="2">
        <v>8.6</v>
      </c>
      <c r="K17" s="2"/>
    </row>
    <row r="18" spans="1:11" ht="33.950000000000003" customHeight="1">
      <c r="A18" s="2">
        <v>4</v>
      </c>
      <c r="B18" s="3" t="s">
        <v>402</v>
      </c>
      <c r="C18" s="2">
        <v>14</v>
      </c>
      <c r="D18" s="2" t="s">
        <v>301</v>
      </c>
      <c r="E18" s="3" t="s">
        <v>405</v>
      </c>
      <c r="F18" s="2" t="s">
        <v>406</v>
      </c>
      <c r="G18" s="2">
        <v>0.95</v>
      </c>
      <c r="H18" s="2"/>
      <c r="I18" s="2"/>
      <c r="J18" s="2">
        <v>0.8</v>
      </c>
      <c r="K18" s="2"/>
    </row>
    <row r="19" spans="1:11" ht="33.950000000000003" customHeight="1">
      <c r="A19" s="2">
        <v>4</v>
      </c>
      <c r="B19" s="3" t="s">
        <v>402</v>
      </c>
      <c r="C19" s="2">
        <v>15</v>
      </c>
      <c r="D19" s="2" t="s">
        <v>307</v>
      </c>
      <c r="E19" s="3" t="s">
        <v>407</v>
      </c>
      <c r="F19" s="2" t="s">
        <v>404</v>
      </c>
      <c r="G19" s="2">
        <v>3.0000000000000001E-3</v>
      </c>
      <c r="H19" s="2"/>
      <c r="I19" s="2"/>
      <c r="J19" s="2">
        <v>1E-3</v>
      </c>
      <c r="K19" s="2"/>
    </row>
    <row r="20" spans="1:11" ht="33.950000000000003" customHeight="1">
      <c r="A20" s="2">
        <v>4</v>
      </c>
      <c r="B20" s="3"/>
      <c r="C20" s="2">
        <v>16</v>
      </c>
      <c r="D20" s="2" t="s">
        <v>223</v>
      </c>
      <c r="E20" s="3" t="s">
        <v>408</v>
      </c>
      <c r="F20" s="2" t="s">
        <v>404</v>
      </c>
      <c r="G20" s="2">
        <v>0.75</v>
      </c>
      <c r="H20" s="2"/>
      <c r="I20" s="2"/>
      <c r="J20" s="2">
        <v>0.71</v>
      </c>
      <c r="K20" s="2"/>
    </row>
    <row r="21" spans="1:11" ht="33.950000000000003" customHeight="1">
      <c r="A21" s="2">
        <v>4</v>
      </c>
      <c r="B21" s="3"/>
      <c r="C21" s="2">
        <v>17</v>
      </c>
      <c r="D21" s="2" t="s">
        <v>409</v>
      </c>
      <c r="E21" s="3" t="s">
        <v>410</v>
      </c>
      <c r="F21" s="2" t="s">
        <v>404</v>
      </c>
      <c r="G21" s="2">
        <v>0.2</v>
      </c>
      <c r="H21" s="2"/>
      <c r="I21" s="2"/>
      <c r="J21" s="2">
        <v>0.25</v>
      </c>
      <c r="K21" s="2"/>
    </row>
    <row r="22" spans="1:11" ht="33.950000000000003" customHeight="1">
      <c r="A22" s="2">
        <v>4</v>
      </c>
      <c r="B22" s="3"/>
      <c r="C22" s="2">
        <v>18</v>
      </c>
      <c r="D22" s="2" t="s">
        <v>195</v>
      </c>
      <c r="E22" s="3" t="s">
        <v>411</v>
      </c>
      <c r="F22" s="2" t="s">
        <v>412</v>
      </c>
      <c r="G22" s="2" t="s">
        <v>156</v>
      </c>
      <c r="H22" s="2"/>
      <c r="I22" s="2"/>
      <c r="J22" s="2">
        <v>0.8</v>
      </c>
      <c r="K22" s="2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Adames</cp:lastModifiedBy>
  <cp:revision/>
  <dcterms:created xsi:type="dcterms:W3CDTF">2025-12-15T12:00:58Z</dcterms:created>
  <dcterms:modified xsi:type="dcterms:W3CDTF">2026-04-29T16:23:48Z</dcterms:modified>
  <cp:category/>
  <cp:contentStatus/>
</cp:coreProperties>
</file>