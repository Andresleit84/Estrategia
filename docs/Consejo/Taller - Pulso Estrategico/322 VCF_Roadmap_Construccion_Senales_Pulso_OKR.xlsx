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https://sendoagil486-my.sharepoint.com/personal/eric_sendoagil_com/Documents/00 - Valladolid Caja Financiera Mexico/10 Entregables/WoW - Consejo y Comite G/Taller - Pulso Estrategico/"/>
    </mc:Choice>
  </mc:AlternateContent>
  <xr:revisionPtr revIDLastSave="0" documentId="8_{4CC5660C-9458-504E-B9A0-890DAD7E8E27}" xr6:coauthVersionLast="47" xr6:coauthVersionMax="47" xr10:uidLastSave="{00000000-0000-0000-0000-000000000000}"/>
  <bookViews>
    <workbookView xWindow="0" yWindow="620" windowWidth="28800" windowHeight="16140" firstSheet="2" activeTab="2" xr2:uid="{00000000-000D-0000-FFFF-FFFF00000000}"/>
  </bookViews>
  <sheets>
    <sheet name="INICIO" sheetId="1" r:id="rId1"/>
    <sheet name="ROADMAP_6-8W" sheetId="2" r:id="rId2"/>
    <sheet name="ITERACIONES" sheetId="3" r:id="rId3"/>
    <sheet name="PLAN_POR_DOMINIO" sheetId="4" r:id="rId4"/>
    <sheet name="INVENTARIO_KR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3" l="1"/>
  <c r="D11" i="3"/>
  <c r="D10" i="3"/>
  <c r="D13" i="3" s="1"/>
</calcChain>
</file>

<file path=xl/sharedStrings.xml><?xml version="1.0" encoding="utf-8"?>
<sst xmlns="http://schemas.openxmlformats.org/spreadsheetml/2006/main" count="364" uniqueCount="274">
  <si>
    <t>Roadmap (6–8 semanas) para construir señales del Pulso Mensual</t>
  </si>
  <si>
    <t>Referencia: Toolkit v10 (MASTER_2026_KRs). Total KRs=21. Señales a construir/validar≈63 (Outcome/Driver/KRI).</t>
  </si>
  <si>
    <t>Cómo usar este archivo:</t>
  </si>
  <si>
    <t>1) Revise la hoja INVENTARIO_KRs para asignar dueños y estatus (Borrador/Validada/Operativa) por señal.</t>
  </si>
  <si>
    <t>2) Use ITERACIONES para estimar carga según # de KRs críticos y prioridades.</t>
  </si>
  <si>
    <t>3) Use ROADMAP_6-8W para calendarizar y presentar al Comité/Consejo.</t>
  </si>
  <si>
    <t>4) Use PLAN_POR_DOMINIO para coordinar con responsables de datos (Core/CRM/Riesgos/TI/RH).</t>
  </si>
  <si>
    <t>Semana</t>
  </si>
  <si>
    <t>Objetivo de la semana</t>
  </si>
  <si>
    <t>Actividades clave</t>
  </si>
  <si>
    <t>Entregables</t>
  </si>
  <si>
    <t>Responsables</t>
  </si>
  <si>
    <t>Alinear gobernanza y recortar alcance (MVP)</t>
  </si>
  <si>
    <t>Definir dueños por OKR/KR; seleccionar KRs críticos (1 por OKR); confirmar Watchlist Top 5 (3 años).</t>
  </si>
  <si>
    <t>Lista de KRs críticos + dueños; agenda de cadencia; Watchlist Top 5 definida.</t>
  </si>
  <si>
    <t>Comité Gerencial + PMO</t>
  </si>
  <si>
    <t>Inventario de datos y definición v0.1 de señales</t>
  </si>
  <si>
    <t>Por KR crítico: identificar datos reales disponibles; mapear campo/fuente; acordar señal mínima (Outcome) para todos los KRs.</t>
  </si>
  <si>
    <t>Signal Cards v0.1; backlog de señales ‘a crear’; primeras reglas VAR (borrador).</t>
  </si>
  <si>
    <t>Dueños de KR + Datos/BI</t>
  </si>
  <si>
    <t>Prototipo manual (señal mínima) + primera corrida interna</t>
  </si>
  <si>
    <t>Implementar captura manual/semiautomática de Señal 1 para todos los KRs; para KRs críticos agregar Señal 2 (Driver).</t>
  </si>
  <si>
    <t>Pulso interno listo; OKR_ROLLUP consistente; ajustar mensajes 1 línea para A/R.</t>
  </si>
  <si>
    <t>PMO + Dueños de KR</t>
  </si>
  <si>
    <t>Calibración VAR + agregar KRI en críticos</t>
  </si>
  <si>
    <t>Revisar 2 ciclos (si hay históricos, usar 3 meses); convertir reglas de texto a umbrales simples cuando sea posible; para KRs críticos agregar Señal 3 (KRI).</t>
  </si>
  <si>
    <t>Reglas VAR v1.0 para críticos; Confianza (Alta/Media/Baja) establecida; checklist de calidad de datos.</t>
  </si>
  <si>
    <t>Riesgos + Operación + PMO</t>
  </si>
  <si>
    <t>Primer OnePager al Consejo (con watchlist)</t>
  </si>
  <si>
    <t>Usar OnePager: discutir solo excepciones; capturar decisiones; actualizar Watchlist Top 5 con checkpoint y estatus horizonte.</t>
  </si>
  <si>
    <t>Acta con decisiones; lista de desbloqueos; watchlist visible y entendible.</t>
  </si>
  <si>
    <t>Comité Gerencial + Consejo</t>
  </si>
  <si>
    <t>Expandir drivers/KRIs a KRs no críticos prioritarios</t>
  </si>
  <si>
    <t>Completar Señal 2 y/o 3 para KRs con mayor incertidumbre (Confianza Media/Baja) o que el Consejo pregunta más; mejorar fuentes.</t>
  </si>
  <si>
    <t>Cobertura 70–80% con señales completas (1–3); reducción de trabajo manual.</t>
  </si>
  <si>
    <t>Dueños + Datos/BI</t>
  </si>
  <si>
    <t>Estandarizar &amp; automatizar ligero</t>
  </si>
  <si>
    <t>Estandarizar definiciones; automatizar export/copia; documentar diccionario mínimo por señal (campo, frecuencia, dueño).</t>
  </si>
  <si>
    <t>Versión 1.1 del toolkit; menor fricción; métricas consistentes.</t>
  </si>
  <si>
    <t>Datos/BI + PMO</t>
  </si>
  <si>
    <t>Cierre de adopción (retro + ajuste de gobernanza)</t>
  </si>
  <si>
    <t>Retro: qué funcionó/qué no; ajustar cadencia; ajustar reglas VAR que estén sesgadas; fijar plan trimestral para ‘Solo Trimestral’.</t>
  </si>
  <si>
    <t>Modelo operativo estable; plan trimestral para 3 años; backlog priorizado siguiente trimestre.</t>
  </si>
  <si>
    <t>Iteraciones sugeridas según carga de señales</t>
  </si>
  <si>
    <t>Supuestos (editable)</t>
  </si>
  <si>
    <t>Total KRs</t>
  </si>
  <si>
    <t>Total señales posibles (3 por KR)</t>
  </si>
  <si>
    <t>KRs críticos (input)</t>
  </si>
  <si>
    <t>KRs prioritarios no críticos (input)</t>
  </si>
  <si>
    <t>Iteración</t>
  </si>
  <si>
    <t>Alcance</t>
  </si>
  <si>
    <t>Cobertura objetivo</t>
  </si>
  <si>
    <t>Señales estimadas (auto)</t>
  </si>
  <si>
    <t>Foco</t>
  </si>
  <si>
    <t>Resultado esperado</t>
  </si>
  <si>
    <t>Iteración 1 (Semanas 1–2)</t>
  </si>
  <si>
    <t>Definir y validar Señal 1 (Outcome) para TODOS los KRs</t>
  </si>
  <si>
    <t>100%</t>
  </si>
  <si>
    <t>Señal 1</t>
  </si>
  <si>
    <t>Crear baseline y acuerdos mínimos</t>
  </si>
  <si>
    <t>Iteración 2 (Semanas 3–4)</t>
  </si>
  <si>
    <t>Agregar Señal 2 (Driver) a KRs CRÍTICOS y los más sensibles</t>
  </si>
  <si>
    <t>≈ 40–60%</t>
  </si>
  <si>
    <t>Señal 2</t>
  </si>
  <si>
    <t>Anticipar causas / palancas</t>
  </si>
  <si>
    <t>Iteración 3 (Semanas 5–6)</t>
  </si>
  <si>
    <t>Agregar Señal 3 (KRI) a KRs CRÍTICOS + calibrar reglas VAR</t>
  </si>
  <si>
    <t>Señal 3</t>
  </si>
  <si>
    <t>Alertas tempranas + gobernanza</t>
  </si>
  <si>
    <t>Iteración 4 (Semanas 7–8)</t>
  </si>
  <si>
    <t>Completar señales faltantes y automatizar ligero</t>
  </si>
  <si>
    <t>≈ 70–90%</t>
  </si>
  <si>
    <t>Automatización</t>
  </si>
  <si>
    <t>Reducir carga y estabilizar</t>
  </si>
  <si>
    <t>Dominio</t>
  </si>
  <si>
    <t>KRs (conteo)</t>
  </si>
  <si>
    <t>Señales totales (3 por KR)</t>
  </si>
  <si>
    <t>Dueño sugerido</t>
  </si>
  <si>
    <t>Riesgo / Crédito / Core</t>
  </si>
  <si>
    <t>Riesgos / Crédito</t>
  </si>
  <si>
    <t>Talento / Cultura</t>
  </si>
  <si>
    <t>RH</t>
  </si>
  <si>
    <t>Operaciones / TI</t>
  </si>
  <si>
    <t>Operación / TI</t>
  </si>
  <si>
    <t>Gobernanza / PMO</t>
  </si>
  <si>
    <t>PMO / Secretaría</t>
  </si>
  <si>
    <t>Comercial / Canales</t>
  </si>
  <si>
    <t>Otros</t>
  </si>
  <si>
    <t>Definir</t>
  </si>
  <si>
    <t>Intención #</t>
  </si>
  <si>
    <t>Intención</t>
  </si>
  <si>
    <t>OKR #</t>
  </si>
  <si>
    <t>OKR ID</t>
  </si>
  <si>
    <t>Objetivo (OKR)</t>
  </si>
  <si>
    <t>KR ID</t>
  </si>
  <si>
    <t>KR (texto)</t>
  </si>
  <si>
    <t>Tipo de KR</t>
  </si>
  <si>
    <t>Señal 1 (Outcome) [propuesta]</t>
  </si>
  <si>
    <t>Señal 2 (Driver) [propuesta]</t>
  </si>
  <si>
    <t>Señal 3 (KRI) [propuesta]</t>
  </si>
  <si>
    <t>Fuente/Sistema</t>
  </si>
  <si>
    <t>Regla VAR [borrador]</t>
  </si>
  <si>
    <t>Dueño señal (rol/persona)</t>
  </si>
  <si>
    <t>Señal 1 Estado (Borrador/Validada/Operativa)</t>
  </si>
  <si>
    <t>Señal 2 Estado (Borrador/Validada/Operativa)</t>
  </si>
  <si>
    <t>Señal 3 Estado (Borrador/Validada/Operativa)</t>
  </si>
  <si>
    <t>Acción próxima (1 línea)</t>
  </si>
  <si>
    <t>Fecha objetivo (semana)</t>
  </si>
  <si>
    <t>Capacidad Transformacional y Diferenciación</t>
  </si>
  <si>
    <t>OKR 1</t>
  </si>
  <si>
    <t>Reposicionamiento Estratégico y Diferenciado</t>
  </si>
  <si>
    <t>KR 1.1</t>
  </si>
  <si>
    <t>Alcanzar NPS 8</t>
  </si>
  <si>
    <t>Outcome</t>
  </si>
  <si>
    <t>NPS (si se actualiza mensual) o NPS proxy por quejas/servicio</t>
  </si>
  <si>
    <t>Quejas por 1,000 socios + tendencia</t>
  </si>
  <si>
    <t>Tiempo de resolución / reincidencia</t>
  </si>
  <si>
    <t>CRM / Mesa de servicio</t>
  </si>
  <si>
    <t>G: tendencia mejora; Y: se estanca; R: empeora 2 meses</t>
  </si>
  <si>
    <t>KR 1.2</t>
  </si>
  <si>
    <t>Incrementar cartera bruta 10,771 MDP</t>
  </si>
  <si>
    <t>Cartera bruta (avance vs run-rate)</t>
  </si>
  <si>
    <t>Pipeline (aprobaciones + originación)</t>
  </si>
  <si>
    <t>Mora temprana (0-30 / 30-60)</t>
  </si>
  <si>
    <t>Core / Crédito / Riesgos</t>
  </si>
  <si>
    <t>G: &gt;run-rate y mora estable; Y: gap moderado; R: gap alto o mora sube</t>
  </si>
  <si>
    <t>KR 1.3</t>
  </si>
  <si>
    <t>Incrementar tasa de membresía activa de 33,335</t>
  </si>
  <si>
    <t>Socios activos netos (altas-bajas)</t>
  </si>
  <si>
    <t>Tasa de activación 30 días (onboarding)</t>
  </si>
  <si>
    <t>Churn / dormancia</t>
  </si>
  <si>
    <t>Core / Canales</t>
  </si>
  <si>
    <t>G: neto &gt;run-rate; Y: cerca; R: por debajo 2 meses</t>
  </si>
  <si>
    <t>OKR 2</t>
  </si>
  <si>
    <t>Transformación Digital y Eficiencia Operativa</t>
  </si>
  <si>
    <t>KR 1.4</t>
  </si>
  <si>
    <t>Reducir Tasa de Reproceso en la evaluación de los créditos (énfasis en los productos priorizados) del 17% al &lt;13%.</t>
  </si>
  <si>
    <t>Driver</t>
  </si>
  <si>
    <t>% reproceso en evaluación</t>
  </si>
  <si>
    <t>Tiempo de ciclo de evaluación</t>
  </si>
  <si>
    <t>Backlog de reprocesos &gt;X días</t>
  </si>
  <si>
    <t>Crédito / Operaciones</t>
  </si>
  <si>
    <t>G: reproceso baja; Y: plano; R: sube</t>
  </si>
  <si>
    <t>KR 1.5</t>
  </si>
  <si>
    <t>Alcanzar y mejorar un cumplimiento SLA Soporte N1 al 80% (Ops.)</t>
  </si>
  <si>
    <t>% tickets dentro de SLA</t>
  </si>
  <si>
    <t>Volumen de incidentes y backlog</t>
  </si>
  <si>
    <t>Incidentes críticos (Sev 1/2)</t>
  </si>
  <si>
    <t>ITSM / Soporte</t>
  </si>
  <si>
    <t>G: SLA&gt;=meta; Y: 2 semanas bajo; R: incumple 1 mes</t>
  </si>
  <si>
    <t>KR 1.6</t>
  </si>
  <si>
    <t xml:space="preserve">Mantener la eficiencia operativa de 47.2% </t>
  </si>
  <si>
    <t>Eficiencia operativa (ratio)</t>
  </si>
  <si>
    <t>Productividad por FTE / automatización</t>
  </si>
  <si>
    <t>Horas extra / backlog operativo</t>
  </si>
  <si>
    <t>Finanzas / Ops</t>
  </si>
  <si>
    <t>G: mejora vs baseline; Y: leve; R: empeora</t>
  </si>
  <si>
    <t>Crecimiento e Impacto de Mercado</t>
  </si>
  <si>
    <t>OKR 3</t>
  </si>
  <si>
    <t>Atraer las nuevas generaciones de socios</t>
  </si>
  <si>
    <t>KR 2.1</t>
  </si>
  <si>
    <t>Aumentar 33,335 nuevos socios activos.</t>
  </si>
  <si>
    <t>Nuevos socios activos vs run-rate</t>
  </si>
  <si>
    <t>Conversión del funnel (lead→alta→activo)</t>
  </si>
  <si>
    <t>Abandono onboarding / cancelaciones</t>
  </si>
  <si>
    <t>CRM / Canales / Core</t>
  </si>
  <si>
    <t>G: &gt;run-rate; Y: cerca; R: &lt;run-rate 2 meses</t>
  </si>
  <si>
    <t>KR 2.2</t>
  </si>
  <si>
    <t>Lograr que 35% de los nuevos socios provengan de las 3 regiones estratégicas prioritarias.</t>
  </si>
  <si>
    <t>% nuevos socios segmento joven</t>
  </si>
  <si>
    <t>Leads jóvenes + conversión</t>
  </si>
  <si>
    <t>CAC / eficacia campañas</t>
  </si>
  <si>
    <t>Marketing / CRM</t>
  </si>
  <si>
    <t>G: %&gt;=meta; Y: ligeramente bajo; R: bajo 2 meses</t>
  </si>
  <si>
    <t>KR 2.3</t>
  </si>
  <si>
    <t>Alcanzar que 25% de los nuevos socios jóvenes (4166) completen onboarding digital</t>
  </si>
  <si>
    <t>% jóvenes completan onboarding digital</t>
  </si>
  <si>
    <t>Tasa de éxito digital (login/registro/validación)</t>
  </si>
  <si>
    <t>Errores en app / caídas</t>
  </si>
  <si>
    <t>Digital / TI</t>
  </si>
  <si>
    <t>G: éxito&gt;=meta; Y: caídas puntuales; R: fallas sostenidas</t>
  </si>
  <si>
    <t>OKR 4</t>
  </si>
  <si>
    <t>Modelo Comercial Sustentable y Sostenible</t>
  </si>
  <si>
    <t>KR 2.4</t>
  </si>
  <si>
    <t>Alcanzar desembolso 7200 mdp annual (600 mdp mensual).</t>
  </si>
  <si>
    <t>Desembolso mensual vs 600 mdp run-rate</t>
  </si>
  <si>
    <t>Pipeline cobertura (3x)</t>
  </si>
  <si>
    <t>Mora/ROI por cohorte</t>
  </si>
  <si>
    <t>Crédito / Finanzas</t>
  </si>
  <si>
    <t>G: run-rate y calidad; Y: gap; R: gap alto/mora sube</t>
  </si>
  <si>
    <t>Gestión y cultura de Riesgos</t>
  </si>
  <si>
    <t>OKR 5</t>
  </si>
  <si>
    <t>Consolidar un Marco Institucional de Apetito de Riesgo que oriente la toma de decisiones en todos los niveles</t>
  </si>
  <si>
    <t>KR 3.1</t>
  </si>
  <si>
    <t>Obtener la aprobación de la Declaratoria de Apetito de Riesgo por parte del Consejo de Administración. (Enero 2026)</t>
  </si>
  <si>
    <t>Hitos completados declaratoria (plan)</t>
  </si>
  <si>
    <t>% stakeholders firmados</t>
  </si>
  <si>
    <t>Riesgos abiertos sin cierre</t>
  </si>
  <si>
    <t>Gobierno / Riesgos</t>
  </si>
  <si>
    <t>G: hito del mes completo; Y: atraso leve; R: atraso crítico</t>
  </si>
  <si>
    <t>KR 3.2</t>
  </si>
  <si>
    <t>Cuantificar al menos el 30 % de los riesgos prioritarios mediante modelos avanzados y validados</t>
  </si>
  <si>
    <t>% riesgos prioritarios cuantificados</t>
  </si>
  <si>
    <t># escenarios/modelos validados</t>
  </si>
  <si>
    <t>Brecha de datos / modelos vencidos</t>
  </si>
  <si>
    <t>Riesgos / Datos</t>
  </si>
  <si>
    <t>G: % sube; Y: plano; R: baja o no avanza</t>
  </si>
  <si>
    <t>KR 3.3</t>
  </si>
  <si>
    <t>Alcanzar un mínimo de 5 decisiones estratégicas respaldadas por alertas o insights derivados de los límites de riesgo.</t>
  </si>
  <si>
    <t># decisiones usando apetito (acumulado)</t>
  </si>
  <si>
    <t># excepciones escaladas/resueltas</t>
  </si>
  <si>
    <t>Decisiones retrasadas &gt;X días</t>
  </si>
  <si>
    <t>Consejo/Comité</t>
  </si>
  <si>
    <t>G: ≥run-rate; Y: cerca; R: bajo</t>
  </si>
  <si>
    <t>OKR 6</t>
  </si>
  <si>
    <t>Fortalecer la resiliencia organizacional y una cultura de riesgo ética y proactiva</t>
  </si>
  <si>
    <t>KR 3.4</t>
  </si>
  <si>
    <t>Lograr que al menos el 50 % de las alertas de riesgo sean generadas por la primera línea de defensa.</t>
  </si>
  <si>
    <t>% alertas en fase temprana</t>
  </si>
  <si>
    <t>Cobertura de controles / monitoreo</t>
  </si>
  <si>
    <t>Incidentes operacionales</t>
  </si>
  <si>
    <t>Riesgos / Operaciones</t>
  </si>
  <si>
    <t>G: % sube; Y: plano; R: baja</t>
  </si>
  <si>
    <t>KR 3.5</t>
  </si>
  <si>
    <t>Alcanzar el tiempo promedio de respuesta ante riesgos críticos a 72 horas o menos.</t>
  </si>
  <si>
    <t>Tiempo promedio respuesta a incidentes</t>
  </si>
  <si>
    <t>% dentro de 72 hrs</t>
  </si>
  <si>
    <t>Backlog incidentes abiertos</t>
  </si>
  <si>
    <t>G: cumple; Y: 1-2 casos fuera; R: incumple</t>
  </si>
  <si>
    <t>Excelencia en Liderazgo, Cultura y Gobernanza</t>
  </si>
  <si>
    <t>OKR 7</t>
  </si>
  <si>
    <t>Generación de Liderazgo Estratégico y Adaptativo</t>
  </si>
  <si>
    <t>KR 4.1</t>
  </si>
  <si>
    <t>Alcanzar Avance Plan estratégico 80%.</t>
  </si>
  <si>
    <t>% avance plan (epics/OKRs)</t>
  </si>
  <si>
    <t>% compromisos en verde (OKR health)</t>
  </si>
  <si>
    <t>Bloqueos críticos / dependencias</t>
  </si>
  <si>
    <t>PMO / Estrategia</t>
  </si>
  <si>
    <t>G: avance &gt;=plan; Y: atraso leve; R: atraso 2 meses</t>
  </si>
  <si>
    <t>KR 4.2</t>
  </si>
  <si>
    <t xml:space="preserve"> Incrementar evaluación del comportamiento Liderazgo de 77% al 80%</t>
  </si>
  <si>
    <t>Cumplimiento prácticas liderazgo (proxy)</t>
  </si>
  <si>
    <t>Cobertura 1:1 / rutinas de liderazgo</t>
  </si>
  <si>
    <t>Rotación / ausentismo</t>
  </si>
  <si>
    <t>RH / Ops</t>
  </si>
  <si>
    <t>G: proxies suben; Y: mixto; R: caen</t>
  </si>
  <si>
    <t>KR 4.3</t>
  </si>
  <si>
    <t>Alcanzar roles clave con plan de sucesión activo 80%.</t>
  </si>
  <si>
    <t>% roles clave con sucesor activo</t>
  </si>
  <si>
    <t>Readiness del sucesor</t>
  </si>
  <si>
    <t>Vacantes críticas</t>
  </si>
  <si>
    <t>OKR 8</t>
  </si>
  <si>
    <t>Gobernanza  orientada a la Sostenibilidad Corporativa</t>
  </si>
  <si>
    <t>KR 4.4</t>
  </si>
  <si>
    <t>Incrementar Indicador de satisfacción de clima laboral global de 67% al 71%.</t>
  </si>
  <si>
    <t>Clima (medición trimestral) + proxy mensual</t>
  </si>
  <si>
    <t>Ausentismo + rotación voluntaria</t>
  </si>
  <si>
    <t>Quejas internas / incidentes</t>
  </si>
  <si>
    <t>RH / Gente</t>
  </si>
  <si>
    <t>G: proxies sanos; Y: alerta; R: deterioro</t>
  </si>
  <si>
    <t>KR 4.5</t>
  </si>
  <si>
    <t>Incrementar eNPS de 8.4 a 8.6 de 10.</t>
  </si>
  <si>
    <t>eNPS (trimestral) + pulso operativo mensual</t>
  </si>
  <si>
    <t>Drivers: carga de trabajo/claridad</t>
  </si>
  <si>
    <t>Rotación/absentismo</t>
  </si>
  <si>
    <t>RH / Pulso</t>
  </si>
  <si>
    <t>G: índice mejora; Y: estable; R: baja</t>
  </si>
  <si>
    <t>KR 4.6</t>
  </si>
  <si>
    <t>Satisfaccion de Stakeholders de 0 (primera base) a 8.</t>
  </si>
  <si>
    <t>Satisfacción de stakeholders (trimestral)</t>
  </si>
  <si>
    <t>Tiempo respuesta + SLA a stakeholders</t>
  </si>
  <si>
    <t>Escalaciones abiertas</t>
  </si>
  <si>
    <t>Gobierno / Servicio</t>
  </si>
  <si>
    <t>G: tendencia positiva; Y: plana; R: negativa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</si>
</sst>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name val="Calibri"/>
      <family val="2"/>
    </font>
    <font>
      <i/>
      <sz val="11"/>
      <color rgb="FF404040"/>
      <name val="Calibri"/>
      <family val="2"/>
    </font>
    <font>
      <b/>
      <sz val="11"/>
      <name val="Calibri"/>
      <family val="2"/>
    </font>
    <font>
      <b/>
      <sz val="11"/>
      <color rgb="FFFFFFFF"/>
      <name val="Calibri"/>
      <family val="2"/>
    </font>
    <font>
      <b/>
      <sz val="14"/>
      <name val="Calibri"/>
      <family val="2"/>
    </font>
  </fonts>
  <fills count="3">
    <fill>
      <patternFill patternType="none"/>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11">
    <xf numFmtId="0" fontId="0" fillId="0" borderId="0" xfId="0"/>
    <xf numFmtId="0" fontId="3" fillId="0" borderId="0" xfId="0" applyFont="1"/>
    <xf numFmtId="0" fontId="0" fillId="0" borderId="0" xfId="0" applyAlignment="1">
      <alignment vertical="center" wrapText="1"/>
    </xf>
    <xf numFmtId="0" fontId="4"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5" fillId="0" borderId="0" xfId="0" applyFont="1" applyAlignment="1">
      <alignment horizontal="center" vertical="center" wrapText="1"/>
    </xf>
  </cellXfs>
  <cellStyles count="1">
    <cellStyle name="Normal" xfId="0" builtinId="0"/>
  </cellStyles>
  <dxfs count="3">
    <dxf>
      <fill>
        <patternFill patternType="solid">
          <fgColor rgb="FFF2F2F2"/>
        </patternFill>
      </fill>
    </dxf>
    <dxf>
      <fill>
        <patternFill patternType="solid">
          <fgColor rgb="FFFFEB9C"/>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
  <sheetViews>
    <sheetView showGridLines="0" workbookViewId="0"/>
  </sheetViews>
  <sheetFormatPr baseColWidth="10" defaultColWidth="8.83203125" defaultRowHeight="15" x14ac:dyDescent="0.2"/>
  <cols>
    <col min="1" max="1" width="110" customWidth="1"/>
  </cols>
  <sheetData>
    <row r="1" spans="1:8" x14ac:dyDescent="0.2">
      <c r="A1" s="9" t="s">
        <v>0</v>
      </c>
      <c r="B1" s="8"/>
      <c r="C1" s="8"/>
      <c r="D1" s="8"/>
      <c r="E1" s="8"/>
      <c r="F1" s="8"/>
      <c r="G1" s="8"/>
      <c r="H1" s="8"/>
    </row>
    <row r="2" spans="1:8" x14ac:dyDescent="0.2">
      <c r="A2" s="7" t="s">
        <v>1</v>
      </c>
      <c r="B2" s="8"/>
      <c r="C2" s="8"/>
      <c r="D2" s="8"/>
      <c r="E2" s="8"/>
      <c r="F2" s="8"/>
      <c r="G2" s="8"/>
      <c r="H2" s="8"/>
    </row>
    <row r="4" spans="1:8" x14ac:dyDescent="0.2">
      <c r="A4" s="1" t="s">
        <v>2</v>
      </c>
    </row>
    <row r="5" spans="1:8" ht="16" x14ac:dyDescent="0.2">
      <c r="A5" s="2" t="s">
        <v>3</v>
      </c>
    </row>
    <row r="6" spans="1:8" ht="16" x14ac:dyDescent="0.2">
      <c r="A6" s="2" t="s">
        <v>4</v>
      </c>
    </row>
    <row r="7" spans="1:8" ht="16" x14ac:dyDescent="0.2">
      <c r="A7" s="2" t="s">
        <v>5</v>
      </c>
    </row>
    <row r="8" spans="1:8" ht="16" x14ac:dyDescent="0.2">
      <c r="A8" s="2" t="s">
        <v>6</v>
      </c>
    </row>
  </sheetData>
  <mergeCells count="2">
    <mergeCell ref="A2:H2"/>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10"/>
  <sheetViews>
    <sheetView showGridLines="0" workbookViewId="0">
      <pane ySplit="2" topLeftCell="A3" activePane="bottomLeft" state="frozen"/>
      <selection pane="bottomLeft" activeCell="D4" sqref="D4"/>
    </sheetView>
  </sheetViews>
  <sheetFormatPr baseColWidth="10" defaultColWidth="8.83203125" defaultRowHeight="15" x14ac:dyDescent="0.2"/>
  <cols>
    <col min="1" max="1" width="8" customWidth="1"/>
    <col min="2" max="2" width="28" customWidth="1"/>
    <col min="3" max="3" width="52" customWidth="1"/>
    <col min="4" max="4" width="44" customWidth="1"/>
    <col min="5" max="5" width="22" customWidth="1"/>
  </cols>
  <sheetData>
    <row r="2" spans="1:5" ht="24" customHeight="1" x14ac:dyDescent="0.2">
      <c r="A2" s="3" t="s">
        <v>7</v>
      </c>
      <c r="B2" s="3" t="s">
        <v>8</v>
      </c>
      <c r="C2" s="3" t="s">
        <v>9</v>
      </c>
      <c r="D2" s="3" t="s">
        <v>10</v>
      </c>
      <c r="E2" s="3" t="s">
        <v>11</v>
      </c>
    </row>
    <row r="3" spans="1:5" ht="50" customHeight="1" x14ac:dyDescent="0.2">
      <c r="A3" s="4">
        <v>1</v>
      </c>
      <c r="B3" s="5" t="s">
        <v>12</v>
      </c>
      <c r="C3" s="5" t="s">
        <v>13</v>
      </c>
      <c r="D3" s="5" t="s">
        <v>14</v>
      </c>
      <c r="E3" s="5" t="s">
        <v>15</v>
      </c>
    </row>
    <row r="4" spans="1:5" ht="50" customHeight="1" x14ac:dyDescent="0.2">
      <c r="A4" s="4">
        <v>2</v>
      </c>
      <c r="B4" s="5" t="s">
        <v>16</v>
      </c>
      <c r="C4" s="5" t="s">
        <v>17</v>
      </c>
      <c r="D4" s="5" t="s">
        <v>18</v>
      </c>
      <c r="E4" s="5" t="s">
        <v>19</v>
      </c>
    </row>
    <row r="5" spans="1:5" ht="50" customHeight="1" x14ac:dyDescent="0.2">
      <c r="A5" s="4">
        <v>3</v>
      </c>
      <c r="B5" s="5" t="s">
        <v>20</v>
      </c>
      <c r="C5" s="5" t="s">
        <v>21</v>
      </c>
      <c r="D5" s="5" t="s">
        <v>22</v>
      </c>
      <c r="E5" s="5" t="s">
        <v>23</v>
      </c>
    </row>
    <row r="6" spans="1:5" ht="50" customHeight="1" x14ac:dyDescent="0.2">
      <c r="A6" s="4">
        <v>4</v>
      </c>
      <c r="B6" s="5" t="s">
        <v>24</v>
      </c>
      <c r="C6" s="5" t="s">
        <v>25</v>
      </c>
      <c r="D6" s="5" t="s">
        <v>26</v>
      </c>
      <c r="E6" s="5" t="s">
        <v>27</v>
      </c>
    </row>
    <row r="7" spans="1:5" ht="50" customHeight="1" x14ac:dyDescent="0.2">
      <c r="A7" s="4">
        <v>5</v>
      </c>
      <c r="B7" s="5" t="s">
        <v>28</v>
      </c>
      <c r="C7" s="5" t="s">
        <v>29</v>
      </c>
      <c r="D7" s="5" t="s">
        <v>30</v>
      </c>
      <c r="E7" s="5" t="s">
        <v>31</v>
      </c>
    </row>
    <row r="8" spans="1:5" ht="50" customHeight="1" x14ac:dyDescent="0.2">
      <c r="A8" s="4">
        <v>6</v>
      </c>
      <c r="B8" s="5" t="s">
        <v>32</v>
      </c>
      <c r="C8" s="5" t="s">
        <v>33</v>
      </c>
      <c r="D8" s="5" t="s">
        <v>34</v>
      </c>
      <c r="E8" s="5" t="s">
        <v>35</v>
      </c>
    </row>
    <row r="9" spans="1:5" ht="50" customHeight="1" x14ac:dyDescent="0.2">
      <c r="A9" s="4">
        <v>7</v>
      </c>
      <c r="B9" s="5" t="s">
        <v>36</v>
      </c>
      <c r="C9" s="5" t="s">
        <v>37</v>
      </c>
      <c r="D9" s="5" t="s">
        <v>38</v>
      </c>
      <c r="E9" s="5" t="s">
        <v>39</v>
      </c>
    </row>
    <row r="10" spans="1:5" ht="50" customHeight="1" x14ac:dyDescent="0.2">
      <c r="A10" s="4">
        <v>8</v>
      </c>
      <c r="B10" s="5" t="s">
        <v>40</v>
      </c>
      <c r="C10" s="5" t="s">
        <v>41</v>
      </c>
      <c r="D10" s="5" t="s">
        <v>42</v>
      </c>
      <c r="E10" s="5" t="s">
        <v>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showGridLines="0" tabSelected="1" workbookViewId="0">
      <pane ySplit="9" topLeftCell="A10" activePane="bottomLeft" state="frozen"/>
      <selection pane="bottomLeft" activeCell="D12" sqref="D12"/>
    </sheetView>
  </sheetViews>
  <sheetFormatPr baseColWidth="10" defaultColWidth="8.83203125" defaultRowHeight="15" x14ac:dyDescent="0.2"/>
  <cols>
    <col min="1" max="1" width="22" customWidth="1"/>
    <col min="2" max="2" width="44" customWidth="1"/>
    <col min="3" max="3" width="16" customWidth="1"/>
    <col min="4" max="4" width="22" customWidth="1"/>
    <col min="5" max="5" width="18" customWidth="1"/>
    <col min="6" max="6" width="34" customWidth="1"/>
  </cols>
  <sheetData>
    <row r="1" spans="1:6" x14ac:dyDescent="0.2">
      <c r="A1" s="10" t="s">
        <v>43</v>
      </c>
      <c r="B1" s="8"/>
      <c r="C1" s="8"/>
      <c r="D1" s="8"/>
      <c r="E1" s="8"/>
      <c r="F1" s="8"/>
    </row>
    <row r="3" spans="1:6" x14ac:dyDescent="0.2">
      <c r="A3" s="1" t="s">
        <v>44</v>
      </c>
    </row>
    <row r="4" spans="1:6" ht="16" x14ac:dyDescent="0.2">
      <c r="A4" s="2" t="s">
        <v>45</v>
      </c>
      <c r="B4" s="6">
        <v>21</v>
      </c>
    </row>
    <row r="5" spans="1:6" ht="32" x14ac:dyDescent="0.2">
      <c r="A5" s="2" t="s">
        <v>46</v>
      </c>
      <c r="B5" s="6">
        <v>63</v>
      </c>
    </row>
    <row r="6" spans="1:6" ht="16" x14ac:dyDescent="0.2">
      <c r="A6" s="2" t="s">
        <v>47</v>
      </c>
      <c r="B6" s="6">
        <v>8</v>
      </c>
    </row>
    <row r="7" spans="1:6" ht="32" x14ac:dyDescent="0.2">
      <c r="A7" s="2" t="s">
        <v>48</v>
      </c>
      <c r="B7" s="6">
        <v>6</v>
      </c>
    </row>
    <row r="9" spans="1:6" ht="45" customHeight="1" x14ac:dyDescent="0.2">
      <c r="A9" s="3" t="s">
        <v>49</v>
      </c>
      <c r="B9" s="3" t="s">
        <v>50</v>
      </c>
      <c r="C9" s="3" t="s">
        <v>51</v>
      </c>
      <c r="D9" s="3" t="s">
        <v>52</v>
      </c>
      <c r="E9" s="3" t="s">
        <v>53</v>
      </c>
      <c r="F9" s="3" t="s">
        <v>54</v>
      </c>
    </row>
    <row r="10" spans="1:6" ht="44" customHeight="1" x14ac:dyDescent="0.2">
      <c r="A10" s="4" t="s">
        <v>55</v>
      </c>
      <c r="B10" s="5" t="s">
        <v>56</v>
      </c>
      <c r="C10" s="4" t="s">
        <v>57</v>
      </c>
      <c r="D10" s="4">
        <f>B5*1</f>
        <v>63</v>
      </c>
      <c r="E10" s="4" t="s">
        <v>58</v>
      </c>
      <c r="F10" s="5" t="s">
        <v>59</v>
      </c>
    </row>
    <row r="11" spans="1:6" ht="44" customHeight="1" x14ac:dyDescent="0.2">
      <c r="A11" s="4" t="s">
        <v>60</v>
      </c>
      <c r="B11" s="5" t="s">
        <v>61</v>
      </c>
      <c r="C11" s="4" t="s">
        <v>62</v>
      </c>
      <c r="D11" s="4">
        <f>B6 + B7</f>
        <v>14</v>
      </c>
      <c r="E11" s="4" t="s">
        <v>63</v>
      </c>
      <c r="F11" s="5" t="s">
        <v>64</v>
      </c>
    </row>
    <row r="12" spans="1:6" ht="44" customHeight="1" x14ac:dyDescent="0.2">
      <c r="A12" s="4" t="s">
        <v>65</v>
      </c>
      <c r="B12" s="5" t="s">
        <v>66</v>
      </c>
      <c r="C12" s="4" t="s">
        <v>62</v>
      </c>
      <c r="D12" s="4">
        <f>B6 + B7</f>
        <v>14</v>
      </c>
      <c r="E12" s="4" t="s">
        <v>67</v>
      </c>
      <c r="F12" s="5" t="s">
        <v>68</v>
      </c>
    </row>
    <row r="13" spans="1:6" ht="44" customHeight="1" x14ac:dyDescent="0.2">
      <c r="A13" s="4" t="s">
        <v>69</v>
      </c>
      <c r="B13" s="5" t="s">
        <v>70</v>
      </c>
      <c r="C13" s="4" t="s">
        <v>71</v>
      </c>
      <c r="D13" s="4">
        <f>B4 - (D10 + D11 + D12)</f>
        <v>-70</v>
      </c>
      <c r="E13" s="4" t="s">
        <v>72</v>
      </c>
      <c r="F13" s="5" t="s">
        <v>73</v>
      </c>
    </row>
  </sheetData>
  <mergeCells count="1">
    <mergeCell ref="A1:F1"/>
  </mergeCells>
  <dataValidations count="1">
    <dataValidation type="whole" sqref="B6 B7" xr:uid="{00000000-0002-0000-0200-000000000000}">
      <formula1>0</formula1>
      <formula2>21</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8"/>
  <sheetViews>
    <sheetView showGridLines="0" workbookViewId="0">
      <pane ySplit="2" topLeftCell="A3" activePane="bottomLeft" state="frozen"/>
      <selection pane="bottomLeft" activeCell="A2" sqref="A2:XFD2"/>
    </sheetView>
  </sheetViews>
  <sheetFormatPr baseColWidth="10" defaultColWidth="8.83203125" defaultRowHeight="15" x14ac:dyDescent="0.2"/>
  <cols>
    <col min="1" max="1" width="26" customWidth="1"/>
    <col min="2" max="2" width="14" customWidth="1"/>
    <col min="3" max="3" width="22" customWidth="1"/>
    <col min="5" max="5" width="26" customWidth="1"/>
  </cols>
  <sheetData>
    <row r="2" spans="1:5" ht="45" customHeight="1" x14ac:dyDescent="0.2">
      <c r="A2" s="3" t="s">
        <v>74</v>
      </c>
      <c r="B2" s="3" t="s">
        <v>75</v>
      </c>
      <c r="C2" s="3" t="s">
        <v>76</v>
      </c>
      <c r="E2" s="3" t="s">
        <v>77</v>
      </c>
    </row>
    <row r="3" spans="1:5" ht="28" customHeight="1" x14ac:dyDescent="0.2">
      <c r="A3" s="4" t="s">
        <v>78</v>
      </c>
      <c r="B3" s="4">
        <v>9</v>
      </c>
      <c r="C3" s="4">
        <v>27</v>
      </c>
      <c r="E3" s="4" t="s">
        <v>79</v>
      </c>
    </row>
    <row r="4" spans="1:5" ht="28" customHeight="1" x14ac:dyDescent="0.2">
      <c r="A4" s="4" t="s">
        <v>80</v>
      </c>
      <c r="B4" s="4">
        <v>4</v>
      </c>
      <c r="C4" s="4">
        <v>12</v>
      </c>
      <c r="E4" s="4" t="s">
        <v>81</v>
      </c>
    </row>
    <row r="5" spans="1:5" ht="28" customHeight="1" x14ac:dyDescent="0.2">
      <c r="A5" s="4" t="s">
        <v>82</v>
      </c>
      <c r="B5" s="4">
        <v>3</v>
      </c>
      <c r="C5" s="4">
        <v>9</v>
      </c>
      <c r="E5" s="4" t="s">
        <v>83</v>
      </c>
    </row>
    <row r="6" spans="1:5" ht="28" customHeight="1" x14ac:dyDescent="0.2">
      <c r="A6" s="4" t="s">
        <v>84</v>
      </c>
      <c r="B6" s="4">
        <v>3</v>
      </c>
      <c r="C6" s="4">
        <v>9</v>
      </c>
      <c r="E6" s="4" t="s">
        <v>85</v>
      </c>
    </row>
    <row r="7" spans="1:5" ht="28" customHeight="1" x14ac:dyDescent="0.2">
      <c r="A7" s="4" t="s">
        <v>86</v>
      </c>
      <c r="B7" s="4">
        <v>1</v>
      </c>
      <c r="C7" s="4">
        <v>3</v>
      </c>
      <c r="E7" s="4" t="s">
        <v>86</v>
      </c>
    </row>
    <row r="8" spans="1:5" ht="28" customHeight="1" x14ac:dyDescent="0.2">
      <c r="A8" s="4" t="s">
        <v>87</v>
      </c>
      <c r="B8" s="4">
        <v>1</v>
      </c>
      <c r="C8" s="4">
        <v>3</v>
      </c>
      <c r="E8" s="4" t="s">
        <v>88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T23"/>
  <sheetViews>
    <sheetView showGridLines="0" workbookViewId="0">
      <pane ySplit="2" topLeftCell="A3" activePane="bottomLeft" state="frozen"/>
      <selection pane="bottomLeft" activeCell="O5" sqref="O5"/>
    </sheetView>
  </sheetViews>
  <sheetFormatPr baseColWidth="10" defaultColWidth="8.83203125" defaultRowHeight="15" x14ac:dyDescent="0.2"/>
  <cols>
    <col min="1" max="1" width="10" customWidth="1"/>
    <col min="2" max="2" width="28" customWidth="1"/>
    <col min="3" max="3" width="6.5" bestFit="1" customWidth="1"/>
    <col min="4" max="4" width="7.5" bestFit="1" customWidth="1"/>
    <col min="5" max="5" width="34" customWidth="1"/>
    <col min="6" max="6" width="6.5" bestFit="1" customWidth="1"/>
    <col min="7" max="7" width="46" customWidth="1"/>
    <col min="8" max="8" width="10.5" bestFit="1" customWidth="1"/>
    <col min="9" max="11" width="32" customWidth="1"/>
    <col min="12" max="12" width="22" customWidth="1"/>
    <col min="13" max="13" width="20" customWidth="1"/>
    <col min="14" max="14" width="28" customWidth="1"/>
    <col min="15" max="17" width="22" customWidth="1"/>
    <col min="18" max="18" width="34" customWidth="1"/>
    <col min="19" max="19" width="18" customWidth="1"/>
  </cols>
  <sheetData>
    <row r="2" spans="1:20" ht="48" x14ac:dyDescent="0.2">
      <c r="A2" s="3" t="s">
        <v>89</v>
      </c>
      <c r="B2" s="3" t="s">
        <v>90</v>
      </c>
      <c r="C2" s="3" t="s">
        <v>91</v>
      </c>
      <c r="D2" s="3" t="s">
        <v>92</v>
      </c>
      <c r="E2" s="3" t="s">
        <v>93</v>
      </c>
      <c r="F2" s="3" t="s">
        <v>94</v>
      </c>
      <c r="G2" s="3" t="s">
        <v>95</v>
      </c>
      <c r="H2" s="3" t="s">
        <v>96</v>
      </c>
      <c r="I2" s="3" t="s">
        <v>97</v>
      </c>
      <c r="J2" s="3" t="s">
        <v>98</v>
      </c>
      <c r="K2" s="3" t="s">
        <v>99</v>
      </c>
      <c r="L2" s="3" t="s">
        <v>100</v>
      </c>
      <c r="M2" s="3" t="s">
        <v>74</v>
      </c>
      <c r="N2" s="3" t="s">
        <v>101</v>
      </c>
      <c r="O2" s="3" t="s">
        <v>102</v>
      </c>
      <c r="P2" s="3" t="s">
        <v>103</v>
      </c>
      <c r="Q2" s="3" t="s">
        <v>104</v>
      </c>
      <c r="R2" s="3" t="s">
        <v>105</v>
      </c>
      <c r="S2" s="3" t="s">
        <v>106</v>
      </c>
      <c r="T2" s="3" t="s">
        <v>107</v>
      </c>
    </row>
    <row r="3" spans="1:20" ht="32" x14ac:dyDescent="0.2">
      <c r="A3" s="4">
        <v>1</v>
      </c>
      <c r="B3" s="5" t="s">
        <v>108</v>
      </c>
      <c r="C3" s="4">
        <v>1</v>
      </c>
      <c r="D3" s="4" t="s">
        <v>109</v>
      </c>
      <c r="E3" s="5" t="s">
        <v>110</v>
      </c>
      <c r="F3" s="4" t="s">
        <v>111</v>
      </c>
      <c r="G3" s="5" t="s">
        <v>112</v>
      </c>
      <c r="H3" s="4" t="s">
        <v>113</v>
      </c>
      <c r="I3" s="5" t="s">
        <v>114</v>
      </c>
      <c r="J3" s="5" t="s">
        <v>115</v>
      </c>
      <c r="K3" s="5" t="s">
        <v>116</v>
      </c>
      <c r="L3" s="5" t="s">
        <v>117</v>
      </c>
      <c r="M3" s="4" t="s">
        <v>86</v>
      </c>
      <c r="N3" s="5" t="s">
        <v>118</v>
      </c>
      <c r="O3" s="4"/>
      <c r="P3" s="4"/>
      <c r="Q3" s="4"/>
      <c r="R3" s="4"/>
      <c r="S3" s="5"/>
      <c r="T3" s="4"/>
    </row>
    <row r="4" spans="1:20" ht="32" x14ac:dyDescent="0.2">
      <c r="A4" s="4">
        <v>1</v>
      </c>
      <c r="B4" s="5" t="s">
        <v>108</v>
      </c>
      <c r="C4" s="4">
        <v>1</v>
      </c>
      <c r="D4" s="4" t="s">
        <v>109</v>
      </c>
      <c r="E4" s="5" t="s">
        <v>110</v>
      </c>
      <c r="F4" s="4" t="s">
        <v>119</v>
      </c>
      <c r="G4" s="5" t="s">
        <v>120</v>
      </c>
      <c r="H4" s="4" t="s">
        <v>113</v>
      </c>
      <c r="I4" s="5" t="s">
        <v>121</v>
      </c>
      <c r="J4" s="5" t="s">
        <v>122</v>
      </c>
      <c r="K4" s="5" t="s">
        <v>123</v>
      </c>
      <c r="L4" s="5" t="s">
        <v>124</v>
      </c>
      <c r="M4" s="4" t="s">
        <v>78</v>
      </c>
      <c r="N4" s="5" t="s">
        <v>125</v>
      </c>
      <c r="O4" s="4"/>
      <c r="P4" s="4"/>
      <c r="Q4" s="4"/>
      <c r="R4" s="4"/>
      <c r="S4" s="5"/>
      <c r="T4" s="4"/>
    </row>
    <row r="5" spans="1:20" ht="32" x14ac:dyDescent="0.2">
      <c r="A5" s="4">
        <v>1</v>
      </c>
      <c r="B5" s="5" t="s">
        <v>108</v>
      </c>
      <c r="C5" s="4">
        <v>1</v>
      </c>
      <c r="D5" s="4" t="s">
        <v>109</v>
      </c>
      <c r="E5" s="5" t="s">
        <v>110</v>
      </c>
      <c r="F5" s="4" t="s">
        <v>126</v>
      </c>
      <c r="G5" s="5" t="s">
        <v>127</v>
      </c>
      <c r="H5" s="4" t="s">
        <v>113</v>
      </c>
      <c r="I5" s="5" t="s">
        <v>128</v>
      </c>
      <c r="J5" s="5" t="s">
        <v>129</v>
      </c>
      <c r="K5" s="5" t="s">
        <v>130</v>
      </c>
      <c r="L5" s="5" t="s">
        <v>131</v>
      </c>
      <c r="M5" s="4" t="s">
        <v>78</v>
      </c>
      <c r="N5" s="5" t="s">
        <v>132</v>
      </c>
      <c r="O5" s="4"/>
      <c r="P5" s="4"/>
      <c r="Q5" s="4"/>
      <c r="R5" s="4"/>
      <c r="S5" s="5"/>
      <c r="T5" s="4"/>
    </row>
    <row r="6" spans="1:20" ht="32" x14ac:dyDescent="0.2">
      <c r="A6" s="4">
        <v>1</v>
      </c>
      <c r="B6" s="5" t="s">
        <v>108</v>
      </c>
      <c r="C6" s="4">
        <v>2</v>
      </c>
      <c r="D6" s="4" t="s">
        <v>133</v>
      </c>
      <c r="E6" s="5" t="s">
        <v>134</v>
      </c>
      <c r="F6" s="4" t="s">
        <v>135</v>
      </c>
      <c r="G6" s="5" t="s">
        <v>136</v>
      </c>
      <c r="H6" s="4" t="s">
        <v>137</v>
      </c>
      <c r="I6" s="5" t="s">
        <v>138</v>
      </c>
      <c r="J6" s="5" t="s">
        <v>139</v>
      </c>
      <c r="K6" s="5" t="s">
        <v>140</v>
      </c>
      <c r="L6" s="5" t="s">
        <v>141</v>
      </c>
      <c r="M6" s="4" t="s">
        <v>78</v>
      </c>
      <c r="N6" s="5" t="s">
        <v>142</v>
      </c>
      <c r="O6" s="4"/>
      <c r="P6" s="4"/>
      <c r="Q6" s="4"/>
      <c r="R6" s="4"/>
      <c r="S6" s="5"/>
      <c r="T6" s="4"/>
    </row>
    <row r="7" spans="1:20" ht="32" x14ac:dyDescent="0.2">
      <c r="A7" s="4">
        <v>1</v>
      </c>
      <c r="B7" s="5" t="s">
        <v>108</v>
      </c>
      <c r="C7" s="4">
        <v>2</v>
      </c>
      <c r="D7" s="4" t="s">
        <v>133</v>
      </c>
      <c r="E7" s="5" t="s">
        <v>134</v>
      </c>
      <c r="F7" s="4" t="s">
        <v>143</v>
      </c>
      <c r="G7" s="5" t="s">
        <v>144</v>
      </c>
      <c r="H7" s="4" t="s">
        <v>137</v>
      </c>
      <c r="I7" s="5" t="s">
        <v>145</v>
      </c>
      <c r="J7" s="5" t="s">
        <v>146</v>
      </c>
      <c r="K7" s="5" t="s">
        <v>147</v>
      </c>
      <c r="L7" s="5" t="s">
        <v>148</v>
      </c>
      <c r="M7" s="4" t="s">
        <v>82</v>
      </c>
      <c r="N7" s="5" t="s">
        <v>149</v>
      </c>
      <c r="O7" s="4"/>
      <c r="P7" s="4"/>
      <c r="Q7" s="4"/>
      <c r="R7" s="4"/>
      <c r="S7" s="5"/>
      <c r="T7" s="4"/>
    </row>
    <row r="8" spans="1:20" ht="32" x14ac:dyDescent="0.2">
      <c r="A8" s="4">
        <v>1</v>
      </c>
      <c r="B8" s="5" t="s">
        <v>108</v>
      </c>
      <c r="C8" s="4">
        <v>2</v>
      </c>
      <c r="D8" s="4" t="s">
        <v>133</v>
      </c>
      <c r="E8" s="5" t="s">
        <v>134</v>
      </c>
      <c r="F8" s="4" t="s">
        <v>150</v>
      </c>
      <c r="G8" s="5" t="s">
        <v>151</v>
      </c>
      <c r="H8" s="4" t="s">
        <v>113</v>
      </c>
      <c r="I8" s="5" t="s">
        <v>152</v>
      </c>
      <c r="J8" s="5" t="s">
        <v>153</v>
      </c>
      <c r="K8" s="5" t="s">
        <v>154</v>
      </c>
      <c r="L8" s="5" t="s">
        <v>155</v>
      </c>
      <c r="M8" s="4" t="s">
        <v>87</v>
      </c>
      <c r="N8" s="5" t="s">
        <v>156</v>
      </c>
      <c r="O8" s="4"/>
      <c r="P8" s="4"/>
      <c r="Q8" s="4"/>
      <c r="R8" s="4"/>
      <c r="S8" s="5"/>
      <c r="T8" s="4"/>
    </row>
    <row r="9" spans="1:20" ht="32" x14ac:dyDescent="0.2">
      <c r="A9" s="4">
        <v>2</v>
      </c>
      <c r="B9" s="5" t="s">
        <v>157</v>
      </c>
      <c r="C9" s="4">
        <v>3</v>
      </c>
      <c r="D9" s="4" t="s">
        <v>158</v>
      </c>
      <c r="E9" s="5" t="s">
        <v>159</v>
      </c>
      <c r="F9" s="4" t="s">
        <v>160</v>
      </c>
      <c r="G9" s="5" t="s">
        <v>161</v>
      </c>
      <c r="H9" s="4" t="s">
        <v>113</v>
      </c>
      <c r="I9" s="5" t="s">
        <v>162</v>
      </c>
      <c r="J9" s="5" t="s">
        <v>163</v>
      </c>
      <c r="K9" s="5" t="s">
        <v>164</v>
      </c>
      <c r="L9" s="5" t="s">
        <v>165</v>
      </c>
      <c r="M9" s="4" t="s">
        <v>78</v>
      </c>
      <c r="N9" s="5" t="s">
        <v>166</v>
      </c>
      <c r="O9" s="4"/>
      <c r="P9" s="4"/>
      <c r="Q9" s="4"/>
      <c r="R9" s="4"/>
      <c r="S9" s="5"/>
      <c r="T9" s="4"/>
    </row>
    <row r="10" spans="1:20" ht="32" x14ac:dyDescent="0.2">
      <c r="A10" s="4">
        <v>2</v>
      </c>
      <c r="B10" s="5" t="s">
        <v>157</v>
      </c>
      <c r="C10" s="4">
        <v>3</v>
      </c>
      <c r="D10" s="4" t="s">
        <v>158</v>
      </c>
      <c r="E10" s="5" t="s">
        <v>159</v>
      </c>
      <c r="F10" s="4" t="s">
        <v>167</v>
      </c>
      <c r="G10" s="5" t="s">
        <v>168</v>
      </c>
      <c r="H10" s="4" t="s">
        <v>113</v>
      </c>
      <c r="I10" s="5" t="s">
        <v>169</v>
      </c>
      <c r="J10" s="5" t="s">
        <v>170</v>
      </c>
      <c r="K10" s="5" t="s">
        <v>171</v>
      </c>
      <c r="L10" s="5" t="s">
        <v>172</v>
      </c>
      <c r="M10" s="4" t="s">
        <v>82</v>
      </c>
      <c r="N10" s="5" t="s">
        <v>173</v>
      </c>
      <c r="O10" s="4"/>
      <c r="P10" s="4"/>
      <c r="Q10" s="4"/>
      <c r="R10" s="4"/>
      <c r="S10" s="5"/>
      <c r="T10" s="4"/>
    </row>
    <row r="11" spans="1:20" ht="32" x14ac:dyDescent="0.2">
      <c r="A11" s="4">
        <v>2</v>
      </c>
      <c r="B11" s="5" t="s">
        <v>157</v>
      </c>
      <c r="C11" s="4">
        <v>3</v>
      </c>
      <c r="D11" s="4" t="s">
        <v>158</v>
      </c>
      <c r="E11" s="5" t="s">
        <v>159</v>
      </c>
      <c r="F11" s="4" t="s">
        <v>174</v>
      </c>
      <c r="G11" s="5" t="s">
        <v>175</v>
      </c>
      <c r="H11" s="4" t="s">
        <v>137</v>
      </c>
      <c r="I11" s="5" t="s">
        <v>176</v>
      </c>
      <c r="J11" s="5" t="s">
        <v>177</v>
      </c>
      <c r="K11" s="5" t="s">
        <v>178</v>
      </c>
      <c r="L11" s="5" t="s">
        <v>179</v>
      </c>
      <c r="M11" s="4" t="s">
        <v>82</v>
      </c>
      <c r="N11" s="5" t="s">
        <v>180</v>
      </c>
      <c r="O11" s="4"/>
      <c r="P11" s="4"/>
      <c r="Q11" s="4"/>
      <c r="R11" s="4"/>
      <c r="S11" s="5"/>
      <c r="T11" s="4"/>
    </row>
    <row r="12" spans="1:20" ht="32" x14ac:dyDescent="0.2">
      <c r="A12" s="4">
        <v>2</v>
      </c>
      <c r="B12" s="5" t="s">
        <v>157</v>
      </c>
      <c r="C12" s="4">
        <v>4</v>
      </c>
      <c r="D12" s="4" t="s">
        <v>181</v>
      </c>
      <c r="E12" s="5" t="s">
        <v>182</v>
      </c>
      <c r="F12" s="4" t="s">
        <v>183</v>
      </c>
      <c r="G12" s="5" t="s">
        <v>184</v>
      </c>
      <c r="H12" s="4" t="s">
        <v>113</v>
      </c>
      <c r="I12" s="5" t="s">
        <v>185</v>
      </c>
      <c r="J12" s="5" t="s">
        <v>186</v>
      </c>
      <c r="K12" s="5" t="s">
        <v>187</v>
      </c>
      <c r="L12" s="5" t="s">
        <v>188</v>
      </c>
      <c r="M12" s="4" t="s">
        <v>78</v>
      </c>
      <c r="N12" s="5" t="s">
        <v>189</v>
      </c>
      <c r="O12" s="4"/>
      <c r="P12" s="4"/>
      <c r="Q12" s="4"/>
      <c r="R12" s="4"/>
      <c r="S12" s="5"/>
      <c r="T12" s="4"/>
    </row>
    <row r="13" spans="1:20" ht="48" x14ac:dyDescent="0.2">
      <c r="A13" s="4">
        <v>3</v>
      </c>
      <c r="B13" s="5" t="s">
        <v>190</v>
      </c>
      <c r="C13" s="4">
        <v>5</v>
      </c>
      <c r="D13" s="4" t="s">
        <v>191</v>
      </c>
      <c r="E13" s="5" t="s">
        <v>192</v>
      </c>
      <c r="F13" s="4" t="s">
        <v>193</v>
      </c>
      <c r="G13" s="5" t="s">
        <v>194</v>
      </c>
      <c r="H13" s="4" t="s">
        <v>113</v>
      </c>
      <c r="I13" s="5" t="s">
        <v>195</v>
      </c>
      <c r="J13" s="5" t="s">
        <v>196</v>
      </c>
      <c r="K13" s="5" t="s">
        <v>197</v>
      </c>
      <c r="L13" s="5" t="s">
        <v>198</v>
      </c>
      <c r="M13" s="4" t="s">
        <v>78</v>
      </c>
      <c r="N13" s="5" t="s">
        <v>199</v>
      </c>
      <c r="O13" s="4"/>
      <c r="P13" s="4"/>
      <c r="Q13" s="4"/>
      <c r="R13" s="4"/>
      <c r="S13" s="5"/>
      <c r="T13" s="4"/>
    </row>
    <row r="14" spans="1:20" ht="48" x14ac:dyDescent="0.2">
      <c r="A14" s="4">
        <v>3</v>
      </c>
      <c r="B14" s="5" t="s">
        <v>190</v>
      </c>
      <c r="C14" s="4">
        <v>5</v>
      </c>
      <c r="D14" s="4" t="s">
        <v>191</v>
      </c>
      <c r="E14" s="5" t="s">
        <v>192</v>
      </c>
      <c r="F14" s="4" t="s">
        <v>200</v>
      </c>
      <c r="G14" s="5" t="s">
        <v>201</v>
      </c>
      <c r="H14" s="4" t="s">
        <v>113</v>
      </c>
      <c r="I14" s="5" t="s">
        <v>202</v>
      </c>
      <c r="J14" s="5" t="s">
        <v>203</v>
      </c>
      <c r="K14" s="5" t="s">
        <v>204</v>
      </c>
      <c r="L14" s="5" t="s">
        <v>205</v>
      </c>
      <c r="M14" s="4" t="s">
        <v>78</v>
      </c>
      <c r="N14" s="5" t="s">
        <v>206</v>
      </c>
      <c r="O14" s="4"/>
      <c r="P14" s="4"/>
      <c r="Q14" s="4"/>
      <c r="R14" s="4"/>
      <c r="S14" s="5"/>
      <c r="T14" s="4"/>
    </row>
    <row r="15" spans="1:20" ht="48" x14ac:dyDescent="0.2">
      <c r="A15" s="4">
        <v>3</v>
      </c>
      <c r="B15" s="5" t="s">
        <v>190</v>
      </c>
      <c r="C15" s="4">
        <v>5</v>
      </c>
      <c r="D15" s="4" t="s">
        <v>191</v>
      </c>
      <c r="E15" s="5" t="s">
        <v>192</v>
      </c>
      <c r="F15" s="4" t="s">
        <v>207</v>
      </c>
      <c r="G15" s="5" t="s">
        <v>208</v>
      </c>
      <c r="H15" s="4" t="s">
        <v>113</v>
      </c>
      <c r="I15" s="5" t="s">
        <v>209</v>
      </c>
      <c r="J15" s="5" t="s">
        <v>210</v>
      </c>
      <c r="K15" s="5" t="s">
        <v>211</v>
      </c>
      <c r="L15" s="5" t="s">
        <v>212</v>
      </c>
      <c r="M15" s="4" t="s">
        <v>84</v>
      </c>
      <c r="N15" s="5" t="s">
        <v>213</v>
      </c>
      <c r="O15" s="4"/>
      <c r="P15" s="4"/>
      <c r="Q15" s="4"/>
      <c r="R15" s="4"/>
      <c r="S15" s="5"/>
      <c r="T15" s="4"/>
    </row>
    <row r="16" spans="1:20" ht="32" x14ac:dyDescent="0.2">
      <c r="A16" s="4">
        <v>3</v>
      </c>
      <c r="B16" s="5" t="s">
        <v>190</v>
      </c>
      <c r="C16" s="4">
        <v>6</v>
      </c>
      <c r="D16" s="4" t="s">
        <v>214</v>
      </c>
      <c r="E16" s="5" t="s">
        <v>215</v>
      </c>
      <c r="F16" s="4" t="s">
        <v>216</v>
      </c>
      <c r="G16" s="5" t="s">
        <v>217</v>
      </c>
      <c r="H16" s="4" t="s">
        <v>137</v>
      </c>
      <c r="I16" s="5" t="s">
        <v>218</v>
      </c>
      <c r="J16" s="5" t="s">
        <v>219</v>
      </c>
      <c r="K16" s="5" t="s">
        <v>220</v>
      </c>
      <c r="L16" s="5" t="s">
        <v>221</v>
      </c>
      <c r="M16" s="4" t="s">
        <v>78</v>
      </c>
      <c r="N16" s="5" t="s">
        <v>222</v>
      </c>
      <c r="O16" s="4"/>
      <c r="P16" s="4"/>
      <c r="Q16" s="4"/>
      <c r="R16" s="4"/>
      <c r="S16" s="5"/>
      <c r="T16" s="4"/>
    </row>
    <row r="17" spans="1:20" ht="32" x14ac:dyDescent="0.2">
      <c r="A17" s="4">
        <v>3</v>
      </c>
      <c r="B17" s="5" t="s">
        <v>190</v>
      </c>
      <c r="C17" s="4">
        <v>6</v>
      </c>
      <c r="D17" s="4" t="s">
        <v>214</v>
      </c>
      <c r="E17" s="5" t="s">
        <v>215</v>
      </c>
      <c r="F17" s="4" t="s">
        <v>223</v>
      </c>
      <c r="G17" s="5" t="s">
        <v>224</v>
      </c>
      <c r="H17" s="4" t="s">
        <v>113</v>
      </c>
      <c r="I17" s="5" t="s">
        <v>225</v>
      </c>
      <c r="J17" s="5" t="s">
        <v>226</v>
      </c>
      <c r="K17" s="5" t="s">
        <v>227</v>
      </c>
      <c r="L17" s="5" t="s">
        <v>221</v>
      </c>
      <c r="M17" s="4" t="s">
        <v>78</v>
      </c>
      <c r="N17" s="5" t="s">
        <v>228</v>
      </c>
      <c r="O17" s="4"/>
      <c r="P17" s="4"/>
      <c r="Q17" s="4"/>
      <c r="R17" s="4"/>
      <c r="S17" s="5"/>
      <c r="T17" s="4"/>
    </row>
    <row r="18" spans="1:20" ht="32" x14ac:dyDescent="0.2">
      <c r="A18" s="4">
        <v>4</v>
      </c>
      <c r="B18" s="5" t="s">
        <v>229</v>
      </c>
      <c r="C18" s="4">
        <v>7</v>
      </c>
      <c r="D18" s="4" t="s">
        <v>230</v>
      </c>
      <c r="E18" s="5" t="s">
        <v>231</v>
      </c>
      <c r="F18" s="4" t="s">
        <v>232</v>
      </c>
      <c r="G18" s="5" t="s">
        <v>233</v>
      </c>
      <c r="H18" s="4" t="s">
        <v>113</v>
      </c>
      <c r="I18" s="5" t="s">
        <v>234</v>
      </c>
      <c r="J18" s="5" t="s">
        <v>235</v>
      </c>
      <c r="K18" s="5" t="s">
        <v>236</v>
      </c>
      <c r="L18" s="5" t="s">
        <v>237</v>
      </c>
      <c r="M18" s="4" t="s">
        <v>84</v>
      </c>
      <c r="N18" s="5" t="s">
        <v>238</v>
      </c>
      <c r="O18" s="4"/>
      <c r="P18" s="4"/>
      <c r="Q18" s="4"/>
      <c r="R18" s="4"/>
      <c r="S18" s="5"/>
      <c r="T18" s="4"/>
    </row>
    <row r="19" spans="1:20" ht="32" x14ac:dyDescent="0.2">
      <c r="A19" s="4">
        <v>4</v>
      </c>
      <c r="B19" s="5" t="s">
        <v>229</v>
      </c>
      <c r="C19" s="4">
        <v>7</v>
      </c>
      <c r="D19" s="4" t="s">
        <v>230</v>
      </c>
      <c r="E19" s="5" t="s">
        <v>231</v>
      </c>
      <c r="F19" s="4" t="s">
        <v>239</v>
      </c>
      <c r="G19" s="5" t="s">
        <v>240</v>
      </c>
      <c r="H19" s="4" t="s">
        <v>137</v>
      </c>
      <c r="I19" s="5" t="s">
        <v>241</v>
      </c>
      <c r="J19" s="5" t="s">
        <v>242</v>
      </c>
      <c r="K19" s="5" t="s">
        <v>243</v>
      </c>
      <c r="L19" s="5" t="s">
        <v>244</v>
      </c>
      <c r="M19" s="4" t="s">
        <v>80</v>
      </c>
      <c r="N19" s="5" t="s">
        <v>245</v>
      </c>
      <c r="O19" s="4"/>
      <c r="P19" s="4"/>
      <c r="Q19" s="4"/>
      <c r="R19" s="4"/>
      <c r="S19" s="5"/>
      <c r="T19" s="4"/>
    </row>
    <row r="20" spans="1:20" ht="32" x14ac:dyDescent="0.2">
      <c r="A20" s="4">
        <v>4</v>
      </c>
      <c r="B20" s="5" t="s">
        <v>229</v>
      </c>
      <c r="C20" s="4">
        <v>7</v>
      </c>
      <c r="D20" s="4" t="s">
        <v>230</v>
      </c>
      <c r="E20" s="5" t="s">
        <v>231</v>
      </c>
      <c r="F20" s="4" t="s">
        <v>246</v>
      </c>
      <c r="G20" s="5" t="s">
        <v>247</v>
      </c>
      <c r="H20" s="4" t="s">
        <v>113</v>
      </c>
      <c r="I20" s="5" t="s">
        <v>248</v>
      </c>
      <c r="J20" s="5" t="s">
        <v>249</v>
      </c>
      <c r="K20" s="5" t="s">
        <v>250</v>
      </c>
      <c r="L20" s="5" t="s">
        <v>81</v>
      </c>
      <c r="M20" s="4" t="s">
        <v>80</v>
      </c>
      <c r="N20" s="5" t="s">
        <v>222</v>
      </c>
      <c r="O20" s="4"/>
      <c r="P20" s="4"/>
      <c r="Q20" s="4"/>
      <c r="R20" s="4"/>
      <c r="S20" s="5"/>
      <c r="T20" s="4"/>
    </row>
    <row r="21" spans="1:20" ht="32" x14ac:dyDescent="0.2">
      <c r="A21" s="4">
        <v>4</v>
      </c>
      <c r="B21" s="5" t="s">
        <v>229</v>
      </c>
      <c r="C21" s="4">
        <v>8</v>
      </c>
      <c r="D21" s="4" t="s">
        <v>251</v>
      </c>
      <c r="E21" s="5" t="s">
        <v>252</v>
      </c>
      <c r="F21" s="4" t="s">
        <v>253</v>
      </c>
      <c r="G21" s="5" t="s">
        <v>254</v>
      </c>
      <c r="H21" s="4" t="s">
        <v>113</v>
      </c>
      <c r="I21" s="5" t="s">
        <v>255</v>
      </c>
      <c r="J21" s="5" t="s">
        <v>256</v>
      </c>
      <c r="K21" s="5" t="s">
        <v>257</v>
      </c>
      <c r="L21" s="5" t="s">
        <v>258</v>
      </c>
      <c r="M21" s="4" t="s">
        <v>80</v>
      </c>
      <c r="N21" s="5" t="s">
        <v>259</v>
      </c>
      <c r="O21" s="4"/>
      <c r="P21" s="4"/>
      <c r="Q21" s="4"/>
      <c r="R21" s="4"/>
      <c r="S21" s="5"/>
      <c r="T21" s="4"/>
    </row>
    <row r="22" spans="1:20" ht="32" x14ac:dyDescent="0.2">
      <c r="A22" s="4">
        <v>4</v>
      </c>
      <c r="B22" s="5" t="s">
        <v>229</v>
      </c>
      <c r="C22" s="4">
        <v>8</v>
      </c>
      <c r="D22" s="4" t="s">
        <v>251</v>
      </c>
      <c r="E22" s="5" t="s">
        <v>252</v>
      </c>
      <c r="F22" s="4" t="s">
        <v>260</v>
      </c>
      <c r="G22" s="5" t="s">
        <v>261</v>
      </c>
      <c r="H22" s="4" t="s">
        <v>113</v>
      </c>
      <c r="I22" s="5" t="s">
        <v>262</v>
      </c>
      <c r="J22" s="5" t="s">
        <v>263</v>
      </c>
      <c r="K22" s="5" t="s">
        <v>264</v>
      </c>
      <c r="L22" s="5" t="s">
        <v>265</v>
      </c>
      <c r="M22" s="4" t="s">
        <v>80</v>
      </c>
      <c r="N22" s="5" t="s">
        <v>266</v>
      </c>
      <c r="O22" s="4"/>
      <c r="P22" s="4"/>
      <c r="Q22" s="4"/>
      <c r="R22" s="4"/>
      <c r="S22" s="5"/>
      <c r="T22" s="4"/>
    </row>
    <row r="23" spans="1:20" ht="32" x14ac:dyDescent="0.2">
      <c r="A23" s="4">
        <v>4</v>
      </c>
      <c r="B23" s="5" t="s">
        <v>229</v>
      </c>
      <c r="C23" s="4">
        <v>8</v>
      </c>
      <c r="D23" s="4" t="s">
        <v>251</v>
      </c>
      <c r="E23" s="5" t="s">
        <v>252</v>
      </c>
      <c r="F23" s="4" t="s">
        <v>267</v>
      </c>
      <c r="G23" s="5" t="s">
        <v>268</v>
      </c>
      <c r="H23" s="4" t="s">
        <v>113</v>
      </c>
      <c r="I23" s="5" t="s">
        <v>269</v>
      </c>
      <c r="J23" s="5" t="s">
        <v>270</v>
      </c>
      <c r="K23" s="5" t="s">
        <v>271</v>
      </c>
      <c r="L23" s="5" t="s">
        <v>272</v>
      </c>
      <c r="M23" s="4" t="s">
        <v>84</v>
      </c>
      <c r="N23" s="5" t="s">
        <v>273</v>
      </c>
      <c r="O23" s="4"/>
      <c r="P23" s="4"/>
      <c r="Q23" s="4"/>
      <c r="R23" s="4"/>
      <c r="S23" s="5"/>
      <c r="T23" s="4"/>
    </row>
  </sheetData>
  <conditionalFormatting sqref="P3:R23">
    <cfRule type="cellIs" dxfId="2" priority="1" operator="equal">
      <formula>"Operativa"</formula>
    </cfRule>
    <cfRule type="cellIs" dxfId="1" priority="2" operator="equal">
      <formula>"Validada"</formula>
    </cfRule>
    <cfRule type="cellIs" dxfId="0" priority="3" operator="equal">
      <formula>"Borrador"</formula>
    </cfRule>
  </conditionalFormatting>
  <dataValidations count="2">
    <dataValidation type="list" allowBlank="1" sqref="P3 P4 P5 P6 P7 P8 P9 P10 P11 P12 P13 P14 P15 P16 P17 P18 P19 P20 P21 P22 P23 Q3 Q4 Q5 Q6 Q7 Q8 Q9 Q10 Q11 Q12 Q13 Q14 Q15 Q16 Q17 Q18 Q19 Q20 Q21 Q22 Q23 R3 R4 R5 R6 R7 R8 R9 R10 R11 R12 R13 R14 R15 R16 R17 R18 R19 R20 R21 R22 R23" xr:uid="{00000000-0002-0000-0400-000000000000}">
      <formula1>"Borrador,Validada,Operativa"</formula1>
    </dataValidation>
    <dataValidation type="whole" allowBlank="1" sqref="T3 T4 T5 T6 T7 T8 T9 T10 T11 T12 T13 T14 T15 T16 T17 T18 T19 T20 T21 T22 T23" xr:uid="{00000000-0002-0000-0400-000001000000}">
      <formula1>1</formula1>
      <formula2>8</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INICIO</vt:lpstr>
      <vt:lpstr>ROADMAP_6-8W</vt:lpstr>
      <vt:lpstr>ITERACIONES</vt:lpstr>
      <vt:lpstr>PLAN_POR_DOMINIO</vt:lpstr>
      <vt:lpstr>INVENTARIO_KRs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Eric Adames</cp:lastModifiedBy>
  <cp:revision/>
  <dcterms:created xsi:type="dcterms:W3CDTF">2025-12-15T13:52:20Z</dcterms:created>
  <dcterms:modified xsi:type="dcterms:W3CDTF">2026-02-26T14:21:47Z</dcterms:modified>
  <cp:category/>
  <cp:contentStatus/>
</cp:coreProperties>
</file>